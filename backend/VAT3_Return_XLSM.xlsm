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png" ContentType="image/png"/>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drawings/drawing7.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05" yWindow="-105" windowWidth="19425" windowHeight="10425" tabRatio="759" firstSheet="6" activeTab="6"/>
  </bookViews>
  <sheets>
    <sheet name="ReadMe" sheetId="1" state="hidden" r:id="rId1"/>
    <sheet name="Errors" sheetId="2" state="hidden" r:id="rId2"/>
    <sheet name="Data" sheetId="3" state="hidden" r:id="rId3"/>
    <sheet name="Validations" sheetId="4" state="hidden" r:id="rId4"/>
    <sheet name="ValidationList" sheetId="5" state="hidden" r:id="rId5"/>
    <sheet name="ImportCsv" sheetId="6" state="hidden" r:id="rId6"/>
    <sheet name="Macros_Disabled" sheetId="23" r:id="rId7"/>
    <sheet name="A_Basic_Info" sheetId="7" state="hidden" r:id="rId8"/>
    <sheet name="B_General_Rated_Sales_Dtls" sheetId="8" state="hidden" r:id="rId9"/>
    <sheet name="C_Other_Rated_Sales_Dtls" sheetId="9" state="hidden" r:id="rId10"/>
    <sheet name="D_Zero_Rated_Sales_Dtls" sheetId="10" state="hidden" r:id="rId11"/>
    <sheet name="E_Exempted_Sales_Dtls" sheetId="11" state="hidden" r:id="rId12"/>
    <sheet name="F_General_Rated_Purchases_Dtls" sheetId="12" state="hidden" r:id="rId13"/>
    <sheet name="G_Other_Rated_Purchases_Dtls" sheetId="13" state="hidden" r:id="rId14"/>
    <sheet name="H_Zero_Rated_Purchases_Dtls" sheetId="14" state="hidden" r:id="rId15"/>
    <sheet name="Extra" sheetId="15" state="hidden" r:id="rId16"/>
    <sheet name="I_Exempted_Purchases_Dtls" sheetId="16" state="hidden" r:id="rId17"/>
    <sheet name="J_VAT_Imported_Services_Dtls" sheetId="17" state="hidden" r:id="rId18"/>
    <sheet name="K_VAT_Payment_Credits" sheetId="18" state="hidden" r:id="rId19"/>
    <sheet name="L_WHT_Credits" sheetId="22" state="hidden" r:id="rId20"/>
    <sheet name="M_Sales_N_Purchases" sheetId="19" state="hidden" r:id="rId21"/>
    <sheet name="O_VAT_Due" sheetId="20" state="hidden" r:id="rId22"/>
    <sheet name="Sheet1" sheetId="21" state="veryHidden" r:id="rId23"/>
  </sheets>
  <functionGroups/>
  <definedNames>
    <definedName name="_xlnm._FilterDatabase" localSheetId="5" hidden="1">ImportCsv!$A$71:$J$72</definedName>
    <definedName name="AdjustmentYN">Data!$C$11:$C$12</definedName>
    <definedName name="AdjustmentYNCode">Data!$D$11:$D$12</definedName>
    <definedName name="AdjustmntYN">Data!$C$15:$C$16</definedName>
    <definedName name="AdjustmntYNCode">Data!$D$15:$D$16</definedName>
    <definedName name="AmtBfrVAT">F_General_Rated_Purchases_Dtls!$H$3:$H$4</definedName>
    <definedName name="AmtBfrVATExempt">I_Exempted_Purchases_Dtls!$H$3:$H$4</definedName>
    <definedName name="AmtBfrVATOth">G_Other_Rated_Purchases_Dtls!$H$3:$H$4</definedName>
    <definedName name="AmtBfrVATRate">F_General_Rated_Purchases_Dtls!$I$3:$I$4</definedName>
    <definedName name="AmtBfrVATZero">H_Zero_Rated_Purchases_Dtls!$I$3:$I$4</definedName>
    <definedName name="AmtClaimble">Data!$D$61:$D$62</definedName>
    <definedName name="AmtClaimbleCode">Data!$E$61:$E$62</definedName>
    <definedName name="BankBranchMap">Data!$I$2:$I$565</definedName>
    <definedName name="BankId">Data!$E$2:$E$47</definedName>
    <definedName name="BankNames">Data!$F$2:$F$47</definedName>
    <definedName name="Boolean">Data!$C$2:$C$3</definedName>
    <definedName name="BooleanCode">Data!$D$2:$D$3</definedName>
    <definedName name="BranchId">Data!$G$2:$G$565</definedName>
    <definedName name="BranchNames">Data!$H$2:$H$565</definedName>
    <definedName name="deductibleCI">O_VAT_Due!$D$8</definedName>
    <definedName name="DescOfServices">Data!$A$47:$A$48</definedName>
    <definedName name="EntityType">Data!$D$57:$D$58</definedName>
    <definedName name="EntityTypeCode">Data!$F$57:$F$58</definedName>
    <definedName name="EntityTypeSorted">Data!$E$57:$E$58</definedName>
    <definedName name="ErrMsg.Alphabet">Data!$B$85</definedName>
    <definedName name="ErrMsg.alphanumeric">Data!$B$84</definedName>
    <definedName name="ErrMsg.alphanumericonly">Data!$B$90</definedName>
    <definedName name="ErrMsg.CompareToTaxPayerPin">Data!$B$87</definedName>
    <definedName name="ErrMsg.DateFormat">Data!$B$82</definedName>
    <definedName name="ErrMsg.Mandatory">Data!$B$86</definedName>
    <definedName name="ErrMsg.NumericVal">Data!$B$83</definedName>
    <definedName name="ErrMsg.PinFormat">Data!$B$88</definedName>
    <definedName name="ErrMsg.WithinRtnPeriod">Data!$B$89</definedName>
    <definedName name="formId">Data!$A$32</definedName>
    <definedName name="genXML">Data!$A$38</definedName>
    <definedName name="GoodsAndServices">Data!$A$66:$A$67</definedName>
    <definedName name="GoodsAndServicesCode">Data!$B$66:$B$67</definedName>
    <definedName name="GoodsAndServicesJuly2021">Data!$A$66</definedName>
    <definedName name="HavePIN">D_Zero_Rated_Sales_Dtls!$N$14:$N$15</definedName>
    <definedName name="moduleId">Data!$A$31</definedName>
    <definedName name="Month">Data!$B$16:$B$27</definedName>
    <definedName name="MonthsList">Data!$A$16:$A$27</definedName>
    <definedName name="obligationId">Data!$A$33</definedName>
    <definedName name="officeVersion">Data!$A$35</definedName>
    <definedName name="PIN">D_Zero_Rated_Sales_Dtls!$B$4:$B$5</definedName>
    <definedName name="prorationRate">O_VAT_Due!$D$7</definedName>
    <definedName name="Purchase.InputTaxPurchDtlsExemptTO">M_Sales_N_Purchases!$C$16</definedName>
    <definedName name="Purchase.InputTaxPurchDtlsGRTO">M_Sales_N_Purchases!$C$13</definedName>
    <definedName name="Purchase.InputTaxPurchDtlsORTO">M_Sales_N_Purchases!$C$14</definedName>
    <definedName name="Purchase.InputTaxPurchDtlsZRTO">M_Sales_N_Purchases!$C$15</definedName>
    <definedName name="Purchases">F_General_Rated_Purchases_Dtls!$A$3:$A$4</definedName>
    <definedName name="PurchasesExempt">I_Exempted_Purchases_Dtls!$A$3:$A$4</definedName>
    <definedName name="PurchasesOther">G_Other_Rated_Purchases_Dtls!$A$3:$A$4</definedName>
    <definedName name="PurchaseZero">H_Zero_Rated_Purchases_Dtls!$A$3:$A$4</definedName>
    <definedName name="RelevantPara">Data!$D$65:$D$69</definedName>
    <definedName name="RetInf.DepositStartDate">A_Basic_Info!$C$12</definedName>
    <definedName name="RetInf.DepositStartDatePID">A_Basic_Info!$B$12</definedName>
    <definedName name="RetInf.PIN">ValidationList!$B$158</definedName>
    <definedName name="ReturnType">Data!$A$6:$A$7</definedName>
    <definedName name="ReturnTypeCode">Data!$C$6:$C$7</definedName>
    <definedName name="ReturnTypeSorted">Data!$B$6:$B$7</definedName>
    <definedName name="Sales.ExemptSalesDtlsTO">M_Sales_N_Purchases!$C$6</definedName>
    <definedName name="Sales.GeneralRateSalesDtlsTO">M_Sales_N_Purchases!$C$3</definedName>
    <definedName name="Sales.OtherRateSalesDtlsTO">M_Sales_N_Purchases!$C$4</definedName>
    <definedName name="Sales.ZeroRateSalesSecASecBTO">M_Sales_N_Purchases!$C$5</definedName>
    <definedName name="SalesAmount">D_Zero_Rated_Sales_Dtls!$L$14:$L$15</definedName>
    <definedName name="Sch1.GeneralRateSalesDtlsList">B_General_Rated_Sales_Dtls!$A$3:$K$4</definedName>
    <definedName name="Sch1.GeneralRateSalesDtlsTO">B_General_Rated_Sales_Dtls!$G$7</definedName>
    <definedName name="Sch1.GeneralRateSalesVATTO">B_General_Rated_Sales_Dtls!$H$7</definedName>
    <definedName name="Sch1.SalesAmtWithoutPINTO">B_General_Rated_Sales_Dtls!$G$6</definedName>
    <definedName name="Sch1.SalesAmtWithPINTO">B_General_Rated_Sales_Dtls!$G$5</definedName>
    <definedName name="Sch1.VATAmtWithoutPINTO">B_General_Rated_Sales_Dtls!$H$6</definedName>
    <definedName name="Sch1.VATAmtWithPINTO">B_General_Rated_Sales_Dtls!$H$5</definedName>
    <definedName name="Sch10.AmountVatClaimableListTO">J_VAT_Imported_Services_Dtls!$G$5</definedName>
    <definedName name="Sch10.ClaimableServiceImportedList">J_VAT_Imported_Services_Dtls!$A$3:$H$4</definedName>
    <definedName name="Sch10.VATAdvcSelfAssPaidDtlsTO">K_VAT_Payment_Credits!$C$13</definedName>
    <definedName name="Sch10.VATCrAdjVoucherDtlsList">K_VAT_Payment_Credits!$A$19:$D$20</definedName>
    <definedName name="Sch10.VATCrAdjVoucherDtlsTO">K_VAT_Payment_Credits!$C$21</definedName>
    <definedName name="Sch10.VATPaidDtlsList">K_VAT_Payment_Credits!$A$4:$D$5</definedName>
    <definedName name="Sch10.VATPaidDtlsTO">K_VAT_Payment_Credits!$C$6</definedName>
    <definedName name="Sch10.VATSelfAssPaidDtlsList">K_VAT_Payment_Credits!$A$10:$D$11</definedName>
    <definedName name="Sch10.VATSelfAssPaidDtlsTO">K_VAT_Payment_Credits!$C$12</definedName>
    <definedName name="Sch2.OtherRateSalesDtlsList">C_Other_Rated_Sales_Dtls!$A$3:$K$4</definedName>
    <definedName name="Sch2.OtherRateSalesDtlsTO">C_Other_Rated_Sales_Dtls!$G$7</definedName>
    <definedName name="Sch2.OtherRateSalesVATTO">C_Other_Rated_Sales_Dtls!$H$7</definedName>
    <definedName name="Sch2.SalesAmtWithoutPINTO">C_Other_Rated_Sales_Dtls!$G$6</definedName>
    <definedName name="Sch2.SalesAmtWithPINTO">C_Other_Rated_Sales_Dtls!$G$5</definedName>
    <definedName name="Sch2.VATAmtWithoutPINTO">C_Other_Rated_Sales_Dtls!$H$6</definedName>
    <definedName name="Sch2.VATAmtWithPINTO">C_Other_Rated_Sales_Dtls!$H$5</definedName>
    <definedName name="Sch3.SalesAmtWithoutPINExpTO">D_Zero_Rated_Sales_Dtls!$L$17</definedName>
    <definedName name="Sch3.SalesAmtWithoutPINTO">D_Zero_Rated_Sales_Dtls!$J$7</definedName>
    <definedName name="Sch3.SalesAmtWithPINExpTO">D_Zero_Rated_Sales_Dtls!$L$16</definedName>
    <definedName name="Sch3.SalesAmtWithPINTO">D_Zero_Rated_Sales_Dtls!$J$6</definedName>
    <definedName name="Sch3.ZeroRateExportList">D_Zero_Rated_Sales_Dtls!$A$14:$M$15</definedName>
    <definedName name="Sch3.ZeroRateSalesDtlsList">D_Zero_Rated_Sales_Dtls!$A$4:$L$5</definedName>
    <definedName name="Sch3.ZeroRateSalesDtlsTO">D_Zero_Rated_Sales_Dtls!$J$8</definedName>
    <definedName name="Sch3.ZeroRateSalesExpTO">D_Zero_Rated_Sales_Dtls!$L$18</definedName>
    <definedName name="Sch3.ZeroRateSalesSecASecBTO">D_Zero_Rated_Sales_Dtls!$L$19</definedName>
    <definedName name="Sch4.ExemptSalesData">E_Exempted_Sales_Dtls!$H$5</definedName>
    <definedName name="Sch4.ExemptSalesDtlsList">E_Exempted_Sales_Dtls!$A$3:$H$4</definedName>
    <definedName name="Sch4.ExemptSalesDtlsTO">E_Exempted_Sales_Dtls!$G$7</definedName>
    <definedName name="Sch4.SalesAmtWithoutPINTO">E_Exempted_Sales_Dtls!$G$6</definedName>
    <definedName name="Sch4.SalesAmtWithPINTO">E_Exempted_Sales_Dtls!$G$5</definedName>
    <definedName name="Sch5.AmtBfrVATWithoutPINTO">F_General_Rated_Purchases_Dtls!$H$6</definedName>
    <definedName name="Sch5.AmtBfrVATWithPINTO">F_General_Rated_Purchases_Dtls!$H$5</definedName>
    <definedName name="Sch5.AmtVATWithoutPINTO">F_General_Rated_Purchases_Dtls!$I$6</definedName>
    <definedName name="Sch5.AmtVATWithPINTO">F_General_Rated_Purchases_Dtls!$I$5</definedName>
    <definedName name="Sch5.InputTaxPurchDtlsGRList">F_General_Rated_Purchases_Dtls!$A$3:$M$4</definedName>
    <definedName name="Sch5.InputTaxPurchDtlsGRTO">F_General_Rated_Purchases_Dtls!$H$7</definedName>
    <definedName name="Sch5.InputTaxPurchDtlsGRVATTO">F_General_Rated_Purchases_Dtls!$I$7</definedName>
    <definedName name="Sch6.AmtBfrVATWithoutPINTO">G_Other_Rated_Purchases_Dtls!$H$6</definedName>
    <definedName name="Sch6.AmtBfrVATWithPINTO">G_Other_Rated_Purchases_Dtls!$H$5</definedName>
    <definedName name="Sch6.AmtVATWithoutPINTO">G_Other_Rated_Purchases_Dtls!$I$6</definedName>
    <definedName name="Sch6.AmtVATWithPINTO">G_Other_Rated_Purchases_Dtls!$I$5</definedName>
    <definedName name="Sch6.InputTaxPurchDtlsORList">G_Other_Rated_Purchases_Dtls!$A$3:$M$4</definedName>
    <definedName name="Sch6.InputTaxPurchDtlsORTO">G_Other_Rated_Purchases_Dtls!$H$7</definedName>
    <definedName name="Sch6.InputTaxPurchDtlsORVATTO">G_Other_Rated_Purchases_Dtls!$I$7</definedName>
    <definedName name="Sch7.AmtBfrVATWithoutPINTO">H_Zero_Rated_Purchases_Dtls!$I$6</definedName>
    <definedName name="Sch7.AmtBfrVATWithPINTO">H_Zero_Rated_Purchases_Dtls!$I$5</definedName>
    <definedName name="Sch7.InputTaxPurchDtlsExemptList">H_Zero_Rated_Purchases_Dtls!$A$3:$K$4</definedName>
    <definedName name="Sch7.InputTaxPurchDtlsZRTO">H_Zero_Rated_Purchases_Dtls!$I$7</definedName>
    <definedName name="Sch8.AmtBfrVATWithoutPINAddTO">I_Exempted_Purchases_Dtls!$H$7</definedName>
    <definedName name="Sch8.AmtBfrVATWithoutPINTO">I_Exempted_Purchases_Dtls!$H$6</definedName>
    <definedName name="Sch8.InputTaxPurchDtlsExemptList">I_Exempted_Purchases_Dtls!$A$3:$J$4</definedName>
    <definedName name="Sch8.InputTaxPurchDtlsExemptTO">I_Exempted_Purchases_Dtls!$H$8</definedName>
    <definedName name="Sch8.PurchaseAmtWithPINTO">I_Exempted_Purchases_Dtls!$H$5</definedName>
    <definedName name="Sch8.WithHoldingVATDtlsList">Extra!$A$3:$G$4</definedName>
    <definedName name="Sch8.WithHoldingVATDtlsTO">Extra!$G$5</definedName>
    <definedName name="searchOffset">B_General_Rated_Sales_Dtls!$M$5</definedName>
    <definedName name="searchoffset_Section_C">C_Other_Rated_Sales_Dtls!$M$5</definedName>
    <definedName name="SearchOffset_Section_F">F_General_Rated_Purchases_Dtls!$O$5</definedName>
    <definedName name="SearchOffset_Section_G">G_Other_Rated_Purchases_Dtls!$O$5</definedName>
    <definedName name="SecA.EntityType">A_Basic_Info!$B$5</definedName>
    <definedName name="SecA.EntityTypeCode">A_Basic_Info!$C$5</definedName>
    <definedName name="SecA.MonthCode">A_Basic_Info!$C$3</definedName>
    <definedName name="SecA.RtnPdFrom">A_Basic_Info!$B$6</definedName>
    <definedName name="SecA.RtnPdTo">A_Basic_Info!$B$7</definedName>
    <definedName name="SecA.RtnPrdToAct">A_Basic_Info!$C$7</definedName>
    <definedName name="SecA.RtnPrdToActStart">A_Basic_Info!$C$6</definedName>
    <definedName name="SecA.RtnType">A_Basic_Info!$B$4</definedName>
    <definedName name="SecA.RtnYear">A_Basic_Info!$C$9</definedName>
    <definedName name="SecA.TaxPayerPIN">A_Basic_Info!$B$3</definedName>
    <definedName name="SecA.VatNonResident">A_Basic_Info!$B$8</definedName>
    <definedName name="SecB.OutputTaxCharged">M_Sales_N_Purchases!$E$8</definedName>
    <definedName name="SecB.TotalSales">M_Sales_N_Purchases!$C$7</definedName>
    <definedName name="SecB.VATChargedOnGR">M_Sales_N_Purchases!$E$3</definedName>
    <definedName name="SecB.VATChargedOnOR">M_Sales_N_Purchases!$E$4</definedName>
    <definedName name="SecB.VATChargedOnZR">M_Sales_N_Purchases!$E$5</definedName>
    <definedName name="SecC.TotalPurchases">M_Sales_N_Purchases!$C$17</definedName>
    <definedName name="SecC.TotalVatPurCharged">M_Sales_N_Purchases!$E$18</definedName>
    <definedName name="SecC.VATChargedOnGR">M_Sales_N_Purchases!$E$13</definedName>
    <definedName name="SecC.VATChargedOnOR">M_Sales_N_Purchases!$E$14</definedName>
    <definedName name="SecC.VATChargedOnZR">M_Sales_N_Purchases!$E$15</definedName>
    <definedName name="SecD.AddRefundClaimPaid">O_VAT_Due!$C$13</definedName>
    <definedName name="SecD.CrdtBroughtFrwd">O_VAT_Due!$C$11</definedName>
    <definedName name="SecD.DeductableIPTax">O_VAT_Due!$C$9</definedName>
    <definedName name="SecD.FinalTaxPayable">O_VAT_Due!$C$10</definedName>
    <definedName name="SecD.InputVatExemptSup">O_VAT_Due!$C$6</definedName>
    <definedName name="SecD.InputVatTaxbleExemptSup">O_VAT_Due!$C$7</definedName>
    <definedName name="SecD.LessNonDedTnputTax">O_VAT_Due!$C$8</definedName>
    <definedName name="SecD.NetTaxPayableClaimable">O_VAT_Due!$C$18</definedName>
    <definedName name="secD.totalVatPayable">D_Zero_Rated_Sales_Dtls!$J$6</definedName>
    <definedName name="SecD.TotalVatPyble">O_VAT_Due!$C$14</definedName>
    <definedName name="SelectedBranchNames">Data!$J$2:$J$10</definedName>
    <definedName name="SortedAdjustmentYN">Data!$B$11:$B$12</definedName>
    <definedName name="SortedTypeOfSales">Data!$A$57:$A$58</definedName>
    <definedName name="SortedTypeOfSalesCode">Data!$B$57:$B$58</definedName>
    <definedName name="SortedTypesOdPurchasesCode">Data!$B$62:$B$64</definedName>
    <definedName name="SortedTypesOfPurchases">Data!$A$62:$A$64</definedName>
    <definedName name="taxablValueB">B_General_Rated_Sales_Dtls!$G$3:$G$4</definedName>
    <definedName name="taxablValueC">C_Other_Rated_Sales_Dtls!$G$3:$G$4</definedName>
    <definedName name="TaxDue.AmountVatClaimableListTO">O_VAT_Due!$C$5</definedName>
    <definedName name="TaxDue.CrAdjVoucherDtlsTO">O_VAT_Due!$C$16</definedName>
    <definedName name="TaxDue.DbAdjVoucherDtlsTO">O_VAT_Due!$C$17</definedName>
    <definedName name="TaxDue.OutputTaxCharged">O_VAT_Due!$C$3</definedName>
    <definedName name="TaxDue.TotalVatPurCharged">O_VAT_Due!$C$4</definedName>
    <definedName name="TaxDue.VATPaidDtlsTO">O_VAT_Due!$C$15</definedName>
    <definedName name="TaxDue.VATWhtTO">O_VAT_Due!$C$12</definedName>
    <definedName name="TaxRates">Data!$B$47:$B$51</definedName>
    <definedName name="templateInfo.formId">A_Basic_Info!$B$11</definedName>
    <definedName name="templateInfo.moduleId">A_Basic_Info!$A$11</definedName>
    <definedName name="templateInfo.obligId">A_Basic_Info!$B$9</definedName>
    <definedName name="templateInfo.ofcVrsn">A_Basic_Info!$B$10</definedName>
    <definedName name="templateInfo.tempType">A_Basic_Info!$A$10</definedName>
    <definedName name="templateInfo.tempVrsn">A_Basic_Info!$A$9</definedName>
    <definedName name="templateType">Data!$A$34</definedName>
    <definedName name="TypesOfPurchases">Data!$C$42:$C$43</definedName>
    <definedName name="TypesOfPurchasesCode">Data!$D$42:$D$43</definedName>
    <definedName name="TypesOfPurchasesCodeJul2021">Data!$D$48:$D$50</definedName>
    <definedName name="TypesOfPurchasesJul2021">Data!$C$48:$C$50</definedName>
    <definedName name="TypesOfSales">Data!$A$42:$A$43</definedName>
    <definedName name="TypesOfSalesCode">Data!$B$42:$B$43</definedName>
    <definedName name="visibleSheetsArr">Data!$A$76</definedName>
    <definedName name="WithHolding.List">L_WHT_Credits!$A$3:$E$4</definedName>
    <definedName name="WithHolding.ListTO">L_WHT_Credits!$E$5</definedName>
    <definedName name="YearList">Data!$M$1:$M$12</definedName>
  </definedNames>
  <calcPr calcId="1257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40" i="6"/>
  <c r="H5" i="12"/>
  <c r="H5" i="11"/>
  <c r="H4" i="8"/>
  <c r="K4" s="1"/>
  <c r="S4" i="12"/>
  <c r="S3"/>
  <c r="R4"/>
  <c r="R3"/>
  <c r="Q4"/>
  <c r="E5" i="22"/>
  <c r="C21" i="18"/>
  <c r="C16" i="20" s="1"/>
  <c r="C12" i="18"/>
  <c r="D11"/>
  <c r="D10"/>
  <c r="C6"/>
  <c r="D5"/>
  <c r="D4"/>
  <c r="G5" i="17"/>
  <c r="C5" i="20" s="1"/>
  <c r="I4" i="17"/>
  <c r="H4"/>
  <c r="I3"/>
  <c r="H3"/>
  <c r="H6" i="16"/>
  <c r="H5"/>
  <c r="J4"/>
  <c r="I4"/>
  <c r="J3"/>
  <c r="I3"/>
  <c r="G5" i="15"/>
  <c r="I6" i="14"/>
  <c r="I5"/>
  <c r="J4"/>
  <c r="K4" s="1"/>
  <c r="J3"/>
  <c r="K3" s="1"/>
  <c r="H6" i="13"/>
  <c r="I6" s="1"/>
  <c r="H5"/>
  <c r="Q4"/>
  <c r="P4"/>
  <c r="O4"/>
  <c r="L4"/>
  <c r="I4"/>
  <c r="M4" s="1"/>
  <c r="P3"/>
  <c r="Q3"/>
  <c r="O3"/>
  <c r="L3"/>
  <c r="I3"/>
  <c r="M3" s="1"/>
  <c r="H6" i="12"/>
  <c r="P4"/>
  <c r="O4"/>
  <c r="L4"/>
  <c r="P3"/>
  <c r="O3"/>
  <c r="Q3"/>
  <c r="L3"/>
  <c r="G5" i="11"/>
  <c r="G7" s="1"/>
  <c r="C6" i="19" s="1"/>
  <c r="H4" i="11"/>
  <c r="H3"/>
  <c r="N15" i="10"/>
  <c r="M15"/>
  <c r="N14"/>
  <c r="M14"/>
  <c r="J6"/>
  <c r="J8" s="1"/>
  <c r="L5"/>
  <c r="K5"/>
  <c r="L4"/>
  <c r="K4"/>
  <c r="H6" i="9"/>
  <c r="G5"/>
  <c r="G7" s="1"/>
  <c r="C4" i="19" s="1"/>
  <c r="E4" s="1"/>
  <c r="O4" i="9"/>
  <c r="N4"/>
  <c r="M4"/>
  <c r="H4"/>
  <c r="K4" s="1"/>
  <c r="N3"/>
  <c r="M3"/>
  <c r="H3"/>
  <c r="K3" s="1"/>
  <c r="G5" i="8"/>
  <c r="G7" s="1"/>
  <c r="C3" i="19" s="1"/>
  <c r="N4" i="8"/>
  <c r="M4"/>
  <c r="N3"/>
  <c r="M3"/>
  <c r="B11" i="7"/>
  <c r="A11"/>
  <c r="B10"/>
  <c r="A10"/>
  <c r="C9"/>
  <c r="B9"/>
  <c r="A9"/>
  <c r="C5"/>
  <c r="C4"/>
  <c r="C3"/>
  <c r="A712" i="6"/>
  <c r="A708"/>
  <c r="A704"/>
  <c r="A700"/>
  <c r="A696"/>
  <c r="A692"/>
  <c r="A684"/>
  <c r="A680"/>
  <c r="A676"/>
  <c r="A672"/>
  <c r="A630"/>
  <c r="A626"/>
  <c r="A547"/>
  <c r="A530"/>
  <c r="A459"/>
  <c r="A455"/>
  <c r="A451"/>
  <c r="A447"/>
  <c r="A443"/>
  <c r="A401"/>
  <c r="A397"/>
  <c r="A393"/>
  <c r="A389"/>
  <c r="A362"/>
  <c r="A358"/>
  <c r="A354"/>
  <c r="A350"/>
  <c r="A346"/>
  <c r="B342"/>
  <c r="A342"/>
  <c r="B338"/>
  <c r="A338"/>
  <c r="A334"/>
  <c r="A330"/>
  <c r="A326"/>
  <c r="A322"/>
  <c r="A318"/>
  <c r="A288"/>
  <c r="A284"/>
  <c r="A280"/>
  <c r="A276"/>
  <c r="A272"/>
  <c r="A268"/>
  <c r="A264"/>
  <c r="A260"/>
  <c r="A228"/>
  <c r="A224"/>
  <c r="A220"/>
  <c r="A216"/>
  <c r="A212"/>
  <c r="A188"/>
  <c r="A184"/>
  <c r="A180"/>
  <c r="A176"/>
  <c r="A136"/>
  <c r="A132"/>
  <c r="A128"/>
  <c r="A124"/>
  <c r="A68"/>
  <c r="A64"/>
  <c r="A60"/>
  <c r="A56"/>
  <c r="A52"/>
  <c r="A48"/>
  <c r="A44"/>
  <c r="A40"/>
  <c r="A36"/>
  <c r="A32"/>
  <c r="A28"/>
  <c r="A24"/>
  <c r="D132" i="5"/>
  <c r="B132"/>
  <c r="D130"/>
  <c r="C130"/>
  <c r="B130"/>
  <c r="D128"/>
  <c r="C128"/>
  <c r="B128"/>
  <c r="D120"/>
  <c r="B120"/>
  <c r="D118"/>
  <c r="C118"/>
  <c r="B118"/>
  <c r="D116"/>
  <c r="C116"/>
  <c r="B116"/>
  <c r="H108"/>
  <c r="G108"/>
  <c r="F108"/>
  <c r="C108"/>
  <c r="B108"/>
  <c r="H106"/>
  <c r="G106"/>
  <c r="F106"/>
  <c r="E106"/>
  <c r="D106"/>
  <c r="C106"/>
  <c r="B106"/>
  <c r="H104"/>
  <c r="G104"/>
  <c r="F104"/>
  <c r="E104"/>
  <c r="D104"/>
  <c r="C104"/>
  <c r="B104"/>
  <c r="I98"/>
  <c r="H98"/>
  <c r="G98"/>
  <c r="F98"/>
  <c r="D98"/>
  <c r="I96"/>
  <c r="H96"/>
  <c r="G96"/>
  <c r="F96"/>
  <c r="E96"/>
  <c r="D96"/>
  <c r="C96"/>
  <c r="I94"/>
  <c r="H94"/>
  <c r="G94"/>
  <c r="F94"/>
  <c r="E94"/>
  <c r="D94"/>
  <c r="C94"/>
  <c r="B94"/>
  <c r="J88"/>
  <c r="I88"/>
  <c r="H88"/>
  <c r="F88"/>
  <c r="D88"/>
  <c r="J86"/>
  <c r="I86"/>
  <c r="H86"/>
  <c r="F86"/>
  <c r="E86"/>
  <c r="D86"/>
  <c r="C86"/>
  <c r="J84"/>
  <c r="I84"/>
  <c r="H84"/>
  <c r="G84"/>
  <c r="F84"/>
  <c r="E84"/>
  <c r="D84"/>
  <c r="C84"/>
  <c r="B84"/>
  <c r="K76"/>
  <c r="J76"/>
  <c r="I76"/>
  <c r="H76"/>
  <c r="G76"/>
  <c r="F76"/>
  <c r="D76"/>
  <c r="L74"/>
  <c r="K74"/>
  <c r="J74"/>
  <c r="I74"/>
  <c r="H74"/>
  <c r="G74"/>
  <c r="F74"/>
  <c r="E74"/>
  <c r="D74"/>
  <c r="C74"/>
  <c r="L72"/>
  <c r="K72"/>
  <c r="J72"/>
  <c r="I72"/>
  <c r="H72"/>
  <c r="G72"/>
  <c r="F72"/>
  <c r="E72"/>
  <c r="D72"/>
  <c r="C72"/>
  <c r="B72"/>
  <c r="K64"/>
  <c r="J64"/>
  <c r="I64"/>
  <c r="H64"/>
  <c r="G64"/>
  <c r="F64"/>
  <c r="D64"/>
  <c r="L62"/>
  <c r="K62"/>
  <c r="J62"/>
  <c r="I62"/>
  <c r="H62"/>
  <c r="G62"/>
  <c r="F62"/>
  <c r="E62"/>
  <c r="D62"/>
  <c r="C62"/>
  <c r="L60"/>
  <c r="K60"/>
  <c r="J60"/>
  <c r="I60"/>
  <c r="H60"/>
  <c r="G60"/>
  <c r="F60"/>
  <c r="E60"/>
  <c r="D60"/>
  <c r="C60"/>
  <c r="B60"/>
  <c r="H54"/>
  <c r="G54"/>
  <c r="F54"/>
  <c r="D54"/>
  <c r="C54"/>
  <c r="H52"/>
  <c r="G52"/>
  <c r="F52"/>
  <c r="E52"/>
  <c r="C52"/>
  <c r="B52"/>
  <c r="H50"/>
  <c r="G50"/>
  <c r="F50"/>
  <c r="E50"/>
  <c r="D50"/>
  <c r="C50"/>
  <c r="B50"/>
  <c r="M44"/>
  <c r="K44"/>
  <c r="J44"/>
  <c r="I44"/>
  <c r="H44"/>
  <c r="F44"/>
  <c r="D44"/>
  <c r="C44"/>
  <c r="M42"/>
  <c r="H42"/>
  <c r="F42"/>
  <c r="E42"/>
  <c r="C42"/>
  <c r="B42"/>
  <c r="M40"/>
  <c r="L40"/>
  <c r="K40"/>
  <c r="J40"/>
  <c r="I40"/>
  <c r="H40"/>
  <c r="G40"/>
  <c r="F40"/>
  <c r="E40"/>
  <c r="D40"/>
  <c r="C40"/>
  <c r="B40"/>
  <c r="K34"/>
  <c r="J34"/>
  <c r="H34"/>
  <c r="G34"/>
  <c r="E34"/>
  <c r="D34"/>
  <c r="K32"/>
  <c r="H32"/>
  <c r="G32"/>
  <c r="F32"/>
  <c r="D32"/>
  <c r="C32"/>
  <c r="K30"/>
  <c r="J30"/>
  <c r="I30"/>
  <c r="H30"/>
  <c r="G30"/>
  <c r="F30"/>
  <c r="E30"/>
  <c r="D30"/>
  <c r="C30"/>
  <c r="B30"/>
  <c r="J22"/>
  <c r="I22"/>
  <c r="H22"/>
  <c r="G22"/>
  <c r="F22"/>
  <c r="D22"/>
  <c r="C22"/>
  <c r="K20"/>
  <c r="J20"/>
  <c r="I20"/>
  <c r="H20"/>
  <c r="G20"/>
  <c r="F20"/>
  <c r="E20"/>
  <c r="C20"/>
  <c r="B20"/>
  <c r="K18"/>
  <c r="J18"/>
  <c r="I18"/>
  <c r="H18"/>
  <c r="G18"/>
  <c r="F18"/>
  <c r="E18"/>
  <c r="D18"/>
  <c r="C18"/>
  <c r="B18"/>
  <c r="J10"/>
  <c r="I10"/>
  <c r="H10"/>
  <c r="G10"/>
  <c r="F10"/>
  <c r="D10"/>
  <c r="C10"/>
  <c r="K8"/>
  <c r="J8"/>
  <c r="I8"/>
  <c r="H8"/>
  <c r="G8"/>
  <c r="F8"/>
  <c r="E8"/>
  <c r="C8"/>
  <c r="B8"/>
  <c r="K6"/>
  <c r="J6"/>
  <c r="I6"/>
  <c r="H6"/>
  <c r="G6"/>
  <c r="F6"/>
  <c r="E6"/>
  <c r="D6"/>
  <c r="C6"/>
  <c r="B6"/>
  <c r="F32" i="4"/>
  <c r="F31"/>
  <c r="F30"/>
  <c r="F29"/>
  <c r="F28"/>
  <c r="F27"/>
  <c r="F26"/>
  <c r="J25"/>
  <c r="F25"/>
  <c r="F24"/>
  <c r="J23"/>
  <c r="F23"/>
  <c r="F22"/>
  <c r="J21"/>
  <c r="F21"/>
  <c r="J20"/>
  <c r="F20"/>
  <c r="J19"/>
  <c r="F19"/>
  <c r="J18"/>
  <c r="F18"/>
  <c r="J17"/>
  <c r="F17"/>
  <c r="J16"/>
  <c r="F16"/>
  <c r="J15"/>
  <c r="F15"/>
  <c r="J14"/>
  <c r="F14"/>
  <c r="J13"/>
  <c r="F13"/>
  <c r="J12"/>
  <c r="F12"/>
  <c r="J11"/>
  <c r="F11"/>
  <c r="J10"/>
  <c r="F10"/>
  <c r="J9"/>
  <c r="F9"/>
  <c r="J8"/>
  <c r="F8"/>
  <c r="J7"/>
  <c r="F7"/>
  <c r="F6"/>
  <c r="F5"/>
  <c r="F4"/>
  <c r="J3"/>
  <c r="H3"/>
  <c r="F3"/>
  <c r="J2"/>
  <c r="F2"/>
  <c r="O4" i="8"/>
  <c r="O3" i="9"/>
  <c r="O3" i="8"/>
  <c r="H3" l="1"/>
  <c r="H5" s="1"/>
  <c r="I4" i="12"/>
  <c r="M4" s="1"/>
  <c r="L17" i="10"/>
  <c r="L16"/>
  <c r="I3" i="12"/>
  <c r="H7"/>
  <c r="C13" i="19" s="1"/>
  <c r="H8" i="16"/>
  <c r="C16" i="19" s="1"/>
  <c r="I7" i="14"/>
  <c r="C15" i="19" s="1"/>
  <c r="H6" i="8"/>
  <c r="H7" i="13"/>
  <c r="C14" i="19" s="1"/>
  <c r="H5" i="9"/>
  <c r="H7" s="1"/>
  <c r="C13" i="18"/>
  <c r="B25" i="10"/>
  <c r="I5" i="13"/>
  <c r="I7" s="1"/>
  <c r="I5" i="12" l="1"/>
  <c r="K3" i="8"/>
  <c r="M3" i="12"/>
  <c r="L18" i="10"/>
  <c r="L19" s="1"/>
  <c r="C5" i="19" s="1"/>
  <c r="I6" i="12"/>
  <c r="C17" i="19"/>
  <c r="H7" i="8"/>
  <c r="E3" i="19" s="1"/>
  <c r="E8" s="1"/>
  <c r="C3" i="20" s="1"/>
  <c r="E14" i="19"/>
  <c r="I7" i="12" l="1"/>
  <c r="E13" i="19" s="1"/>
  <c r="E18" s="1"/>
  <c r="C4" i="20" s="1"/>
  <c r="C7" i="19"/>
  <c r="D7" i="20" s="1"/>
  <c r="D8" s="1"/>
  <c r="B26" i="10"/>
  <c r="B27" s="1"/>
  <c r="C8" i="20" l="1"/>
  <c r="C9" l="1"/>
  <c r="C10" s="1"/>
  <c r="C14" s="1"/>
  <c r="C15" s="1"/>
  <c r="C18" s="1"/>
</calcChain>
</file>

<file path=xl/sharedStrings.xml><?xml version="1.0" encoding="utf-8"?>
<sst xmlns="http://schemas.openxmlformats.org/spreadsheetml/2006/main" count="2706" uniqueCount="1254">
  <si>
    <t>Help on Enable Macro (Enable Validate button):</t>
  </si>
  <si>
    <t>FOR EXCEL 2010 :-</t>
  </si>
  <si>
    <t>To "Enable Macro" please follow steps below.</t>
  </si>
  <si>
    <r>
      <t xml:space="preserve">Click the </t>
    </r>
    <r>
      <rPr>
        <b/>
        <sz val="12"/>
        <color indexed="63"/>
        <rFont val="Book Antiqua"/>
        <family val="1"/>
      </rPr>
      <t xml:space="preserve">File Menu (Office BackStage), </t>
    </r>
    <r>
      <rPr>
        <sz val="12"/>
        <color indexed="63"/>
        <rFont val="Book Antiqua"/>
        <family val="1"/>
      </rPr>
      <t>and then select</t>
    </r>
    <r>
      <rPr>
        <b/>
        <sz val="12"/>
        <color indexed="63"/>
        <rFont val="Book Antiqua"/>
        <family val="1"/>
      </rPr>
      <t xml:space="preserve"> Options </t>
    </r>
    <r>
      <rPr>
        <sz val="12"/>
        <color indexed="63"/>
        <rFont val="Book Antiqua"/>
        <family val="1"/>
      </rPr>
      <t>from the left sidebar</t>
    </r>
    <r>
      <rPr>
        <b/>
        <sz val="12"/>
        <color indexed="63"/>
        <rFont val="Book Antiqua"/>
        <family val="1"/>
      </rPr>
      <t>.</t>
    </r>
  </si>
  <si>
    <t>Click Trust Center, click Trust Center Settings, and then click Macro Settings.</t>
  </si>
  <si>
    <t>Select "Enable all macros". Click on 'OK'.</t>
  </si>
  <si>
    <t>Open the file again.</t>
  </si>
  <si>
    <t>FOR EXCEL 2007 :-</t>
  </si>
  <si>
    <r>
      <t xml:space="preserve">Click the </t>
    </r>
    <r>
      <rPr>
        <b/>
        <sz val="12"/>
        <rFont val="Book Antiqua"/>
        <family val="1"/>
      </rPr>
      <t>Microsoft Office Button</t>
    </r>
    <r>
      <rPr>
        <b/>
        <sz val="9.1"/>
        <rFont val="Book Antiqua"/>
        <family val="1"/>
      </rPr>
      <t xml:space="preserve">                </t>
    </r>
    <r>
      <rPr>
        <b/>
        <sz val="12"/>
        <rFont val="Book Antiqua"/>
        <family val="1"/>
      </rPr>
      <t xml:space="preserve"> , </t>
    </r>
    <r>
      <rPr>
        <sz val="12"/>
        <rFont val="Book Antiqua"/>
        <family val="1"/>
      </rPr>
      <t>and then click</t>
    </r>
    <r>
      <rPr>
        <b/>
        <sz val="12"/>
        <rFont val="Book Antiqua"/>
        <family val="1"/>
      </rPr>
      <t xml:space="preserve"> Excel Options.</t>
    </r>
  </si>
  <si>
    <t>FOR OTHER EXCEL VERSIONS :-</t>
  </si>
  <si>
    <r>
      <t xml:space="preserve">Select the </t>
    </r>
    <r>
      <rPr>
        <b/>
        <sz val="12"/>
        <rFont val="Book Antiqua"/>
        <family val="1"/>
      </rPr>
      <t>Tools</t>
    </r>
    <r>
      <rPr>
        <sz val="12"/>
        <rFont val="Book Antiqua"/>
        <family val="1"/>
      </rPr>
      <t xml:space="preserve"> menu option and then select </t>
    </r>
    <r>
      <rPr>
        <b/>
        <sz val="12"/>
        <rFont val="Book Antiqua"/>
        <family val="1"/>
      </rPr>
      <t>Macro</t>
    </r>
    <r>
      <rPr>
        <sz val="12"/>
        <rFont val="Book Antiqua"/>
        <family val="1"/>
      </rPr>
      <t xml:space="preserve"> and </t>
    </r>
    <r>
      <rPr>
        <b/>
        <sz val="12"/>
        <rFont val="Book Antiqua"/>
        <family val="1"/>
      </rPr>
      <t>Security.</t>
    </r>
    <r>
      <rPr>
        <sz val="12"/>
        <rFont val="Book Antiqua"/>
        <family val="1"/>
      </rPr>
      <t xml:space="preserve"> In the resulting Security dialog, set the security level to Low by clicking the </t>
    </r>
    <r>
      <rPr>
        <b/>
        <sz val="12"/>
        <rFont val="Book Antiqua"/>
        <family val="1"/>
      </rPr>
      <t>Low</t>
    </r>
    <r>
      <rPr>
        <sz val="12"/>
        <rFont val="Book Antiqua"/>
        <family val="1"/>
      </rPr>
      <t xml:space="preserve"> radio button.</t>
    </r>
  </si>
  <si>
    <t>Close the file and any other instances of the application currently running on the computer (close all excel applications that also use the application you are currently running).</t>
  </si>
  <si>
    <r>
      <t xml:space="preserve">Click the </t>
    </r>
    <r>
      <rPr>
        <b/>
        <sz val="12"/>
        <rFont val="Book Antiqua"/>
        <family val="1"/>
      </rPr>
      <t>Enable</t>
    </r>
    <r>
      <rPr>
        <sz val="12"/>
        <rFont val="Book Antiqua"/>
        <family val="1"/>
      </rPr>
      <t xml:space="preserve"> button to allow the macro to run.</t>
    </r>
  </si>
  <si>
    <t>Fields marked in White color is enabled and data can be entered in that field.</t>
  </si>
  <si>
    <t>Fields marked in Grey color is Disabled.</t>
  </si>
  <si>
    <t>Fields marked in light Grey color is showing Description of field.</t>
  </si>
  <si>
    <t>Change your regional date option from "Control Panel --&gt; Region and Language" to "English(Unites States)"</t>
  </si>
  <si>
    <r>
      <t xml:space="preserve">Please click on </t>
    </r>
    <r>
      <rPr>
        <b/>
        <i/>
        <sz val="12"/>
        <rFont val="Book Antiqua"/>
        <family val="1"/>
      </rPr>
      <t>"Validate"</t>
    </r>
    <r>
      <rPr>
        <sz val="12"/>
        <rFont val="Book Antiqua"/>
        <family val="1"/>
      </rPr>
      <t xml:space="preserve"> button to check errors in excel sheet. If there is </t>
    </r>
    <r>
      <rPr>
        <b/>
        <sz val="12"/>
        <rFont val="Book Antiqua"/>
        <family val="1"/>
      </rPr>
      <t>no error</t>
    </r>
    <r>
      <rPr>
        <sz val="12"/>
        <rFont val="Book Antiqua"/>
        <family val="1"/>
      </rPr>
      <t xml:space="preserve"> in excel sheet then upload file gets generated.</t>
    </r>
  </si>
  <si>
    <r>
      <t xml:space="preserve">Note : </t>
    </r>
    <r>
      <rPr>
        <sz val="12"/>
        <rFont val="Book Antiqua"/>
        <family val="1"/>
      </rPr>
      <t>While opening a MS Excel 2007 file, macro security issue may arise. To overcome this issue, upgrade to 
MS Excel 2007 Service Pack 2</t>
    </r>
  </si>
  <si>
    <t>For Relevant Paragraph :-</t>
  </si>
  <si>
    <t>Descriptions of all the categories of  "Relevant Paragraph"</t>
  </si>
  <si>
    <t xml:space="preserve">Category A : Zero Rated Suppliers (Part A Fifth Schedule Paragraphs 3, 5, 8, 9,10,11,12,13,14) </t>
  </si>
  <si>
    <t xml:space="preserve">Category B : Direct Export of Goods and Services (Part A Fifth Schedule) </t>
  </si>
  <si>
    <t xml:space="preserve">Category D : Zero Rated Sales - Part A Fifth Schedule Paragraph 2 - (Supplies to Designated Foreign Aid Funded
                        or Official Aid Funded Projects) </t>
  </si>
  <si>
    <t>Category E : Zero Rated Sales - Part A Fifth Schedule Paragraph 7 - (For Contractors of Official Aid Funded
                       Project)</t>
  </si>
  <si>
    <t>Category F : Zero Rated Supplies Fifth Schedule Part A Other Supplies not Covered in A to E above+</t>
  </si>
  <si>
    <t>Sr. No.</t>
  </si>
  <si>
    <t>Section Name</t>
  </si>
  <si>
    <t>Field</t>
  </si>
  <si>
    <t>Error Description</t>
  </si>
  <si>
    <t>Reference Cell</t>
  </si>
  <si>
    <t>ReturnType</t>
  </si>
  <si>
    <t>Boolean</t>
  </si>
  <si>
    <t>Bank Id</t>
  </si>
  <si>
    <t>Bank Name</t>
  </si>
  <si>
    <t>Branch Id</t>
  </si>
  <si>
    <t>Branch Name</t>
  </si>
  <si>
    <t>Bank Branch Map</t>
  </si>
  <si>
    <t>Selected Branch Names</t>
  </si>
  <si>
    <t>Original</t>
  </si>
  <si>
    <t>ORIGINAL</t>
  </si>
  <si>
    <t>Yes</t>
  </si>
  <si>
    <t>African Banking Corporation  Limited</t>
  </si>
  <si>
    <t>NKRUMAH ROAD BRANCH</t>
  </si>
  <si>
    <t>Amended</t>
  </si>
  <si>
    <t>AMENDED</t>
  </si>
  <si>
    <t>No</t>
  </si>
  <si>
    <t>Akiba Bank</t>
  </si>
  <si>
    <t>NAKURU</t>
  </si>
  <si>
    <t>Bank Of Africa (K) Limited</t>
  </si>
  <si>
    <t>LIBRA HOUSE</t>
  </si>
  <si>
    <t>Bank Of Baroda</t>
  </si>
  <si>
    <t>ELDORET BRANCH</t>
  </si>
  <si>
    <t>Bank Of India</t>
  </si>
  <si>
    <t>KISUMU BRANCH</t>
  </si>
  <si>
    <t>Barclays Bank Of Kenya</t>
  </si>
  <si>
    <t>MERU BRANCH</t>
  </si>
  <si>
    <t>Central Bank Of Kenya</t>
  </si>
  <si>
    <t>HEAD OFFICE</t>
  </si>
  <si>
    <t>Cfc Bank Limited</t>
  </si>
  <si>
    <t>WESTLANDS BRANCH</t>
  </si>
  <si>
    <t>Chase Bank (Kenya) Ltd</t>
  </si>
  <si>
    <t>INDUSTRIAL AREA BRANCH</t>
  </si>
  <si>
    <t>N</t>
  </si>
  <si>
    <t>Citibank N.A.</t>
  </si>
  <si>
    <t>abcd</t>
  </si>
  <si>
    <t>Y</t>
  </si>
  <si>
    <t>City Finance Bank Ltd</t>
  </si>
  <si>
    <t>MOI AVENUE BRANCH</t>
  </si>
  <si>
    <t>Co-Operative Bank Of Kenya Ltd</t>
  </si>
  <si>
    <t>Commercial Bank Of Africa Ltd</t>
  </si>
  <si>
    <t>RIVER ROAD</t>
  </si>
  <si>
    <t>MonthsList</t>
  </si>
  <si>
    <t>Month</t>
  </si>
  <si>
    <t>Consolidated Bank Of Kenya Ltd</t>
  </si>
  <si>
    <t>January</t>
  </si>
  <si>
    <t>01</t>
  </si>
  <si>
    <t>Credit Bank Limited</t>
  </si>
  <si>
    <t>THIKA</t>
  </si>
  <si>
    <t>February</t>
  </si>
  <si>
    <t>02</t>
  </si>
  <si>
    <t>Development Bank Of Kenya Ltd</t>
  </si>
  <si>
    <t>PALLI HOUSE BRANCH</t>
  </si>
  <si>
    <t>March</t>
  </si>
  <si>
    <t>03</t>
  </si>
  <si>
    <t>Diamond Trust Bank Of Kenya Ltd</t>
  </si>
  <si>
    <t>ELDORET</t>
  </si>
  <si>
    <t>April</t>
  </si>
  <si>
    <t>04</t>
  </si>
  <si>
    <t>Dubai Bank (Kenya) Ltd</t>
  </si>
  <si>
    <t>May</t>
  </si>
  <si>
    <t>05</t>
  </si>
  <si>
    <t>Equatorial Commercial Ltd</t>
  </si>
  <si>
    <t>DIGO ROAD BRANCH</t>
  </si>
  <si>
    <t>June</t>
  </si>
  <si>
    <t>06</t>
  </si>
  <si>
    <t>Equity Bank Ltd</t>
  </si>
  <si>
    <t>MAKADARA ROAD BRANCH</t>
  </si>
  <si>
    <t>July</t>
  </si>
  <si>
    <t>07</t>
  </si>
  <si>
    <t>Family Bank Limited</t>
  </si>
  <si>
    <t>August</t>
  </si>
  <si>
    <t>08</t>
  </si>
  <si>
    <t>Fidelity Commercial Bank Ltd</t>
  </si>
  <si>
    <t>CITY SQUARE BRANCH</t>
  </si>
  <si>
    <t>September</t>
  </si>
  <si>
    <t>09</t>
  </si>
  <si>
    <t>Fina Bank Ltd</t>
  </si>
  <si>
    <t>THIKA BRANCH</t>
  </si>
  <si>
    <t>October</t>
  </si>
  <si>
    <t>10</t>
  </si>
  <si>
    <t>First Community Bank Ltd</t>
  </si>
  <si>
    <t>SARIT CENTRE</t>
  </si>
  <si>
    <t>November</t>
  </si>
  <si>
    <t>11</t>
  </si>
  <si>
    <t>Giro Bank</t>
  </si>
  <si>
    <t>ENTERPRISE ROAD</t>
  </si>
  <si>
    <t>December</t>
  </si>
  <si>
    <t>12</t>
  </si>
  <si>
    <t>Guardian Bank Ltd</t>
  </si>
  <si>
    <t>Gulf African Bank</t>
  </si>
  <si>
    <t>Habib Bank A.G. Zurich</t>
  </si>
  <si>
    <t>CHUKA BRANCH</t>
  </si>
  <si>
    <t>Habib Bank Ltd</t>
  </si>
  <si>
    <t>LIMURU BRANCH</t>
  </si>
  <si>
    <t>HDFC</t>
  </si>
  <si>
    <t>MAUA BRANCH</t>
  </si>
  <si>
    <t>Imperial Bank Ltd</t>
  </si>
  <si>
    <t>MAUA</t>
  </si>
  <si>
    <t>Investments And Mortgages Bank Ltd</t>
  </si>
  <si>
    <t>LITEIN BRANCH</t>
  </si>
  <si>
    <t>K-Rep Bank Limited</t>
  </si>
  <si>
    <t>RUARAKA BRANCH</t>
  </si>
  <si>
    <t>Kenya Commercial Bank Ltd</t>
  </si>
  <si>
    <t>DIANI BEACH BRANCH</t>
  </si>
  <si>
    <t>Middle East Bank Kenya Ltd</t>
  </si>
  <si>
    <t>MBALE BRANCH</t>
  </si>
  <si>
    <t>National Bank Of Kenya Ltd</t>
  </si>
  <si>
    <t>BUNGOMA BRANCH</t>
  </si>
  <si>
    <t>National Industrial Credit Bank Ltd</t>
  </si>
  <si>
    <t>ELDAMA RAVINE BRANCH</t>
  </si>
  <si>
    <t>Oriental Commercial Bank</t>
  </si>
  <si>
    <t xml:space="preserve">Paramount Un. Bank </t>
  </si>
  <si>
    <t>EMBU BRANCH</t>
  </si>
  <si>
    <t>TypesOfSales</t>
  </si>
  <si>
    <t>TypesOfSalesCode</t>
  </si>
  <si>
    <t>TypesOfPurchases</t>
  </si>
  <si>
    <t>TypesOfPurchasesCode</t>
  </si>
  <si>
    <t>Prime Bank Limited</t>
  </si>
  <si>
    <t>GARISSA BRANCH</t>
  </si>
  <si>
    <t>Local</t>
  </si>
  <si>
    <t>Punjab National Bank</t>
  </si>
  <si>
    <t>HOMA BAY BRANCH</t>
  </si>
  <si>
    <t>Exemption</t>
  </si>
  <si>
    <t>Exempt</t>
  </si>
  <si>
    <t>Import</t>
  </si>
  <si>
    <t>Southern Credit Banking Corp Ltd</t>
  </si>
  <si>
    <t>ISIOLO BRANCH</t>
  </si>
  <si>
    <t>Export</t>
  </si>
  <si>
    <t>Stanbic Bank Kenya Ltd</t>
  </si>
  <si>
    <t>KAKAMEGA BRANCH</t>
  </si>
  <si>
    <t>Standard Chartered Bank Kenya Ltd</t>
  </si>
  <si>
    <t>KAPSABET BRANCH</t>
  </si>
  <si>
    <t>DescOfServices</t>
  </si>
  <si>
    <t>TaxRates</t>
  </si>
  <si>
    <t>Trans-National Bank Ltd</t>
  </si>
  <si>
    <t>KERICHO BRANCH</t>
  </si>
  <si>
    <t>service1</t>
  </si>
  <si>
    <t>Victoria Commercial Bank Ltd</t>
  </si>
  <si>
    <t>KERUGOYA BRANCH</t>
  </si>
  <si>
    <t>service2</t>
  </si>
  <si>
    <t>KIAMBU BRANCH</t>
  </si>
  <si>
    <t>KILIFI BRANCH</t>
  </si>
  <si>
    <t>KISII BRANCH</t>
  </si>
  <si>
    <t>KITALE BRANCH</t>
  </si>
  <si>
    <t>KITUI BRANCH</t>
  </si>
  <si>
    <t>MACHAKOS BRANCH</t>
  </si>
  <si>
    <t>MALINDI BRANCH</t>
  </si>
  <si>
    <t>SortedTypeofSales</t>
  </si>
  <si>
    <t>SortedTypeOfSalesCode</t>
  </si>
  <si>
    <t>Entity Type</t>
  </si>
  <si>
    <t>MARAGUA BRANCH</t>
  </si>
  <si>
    <t>Head Office</t>
  </si>
  <si>
    <t>HOET</t>
  </si>
  <si>
    <t>Branch</t>
  </si>
  <si>
    <t>BRET</t>
  </si>
  <si>
    <t>MIGORI BRANCH</t>
  </si>
  <si>
    <t>MIGORI</t>
  </si>
  <si>
    <t>AmtClaimble</t>
  </si>
  <si>
    <t>AmtClaimbleCode</t>
  </si>
  <si>
    <t>MOLO BRANCH</t>
  </si>
  <si>
    <t>SortedTypesOfPurchases</t>
  </si>
  <si>
    <t>SortedTypesOFPurchasesCode</t>
  </si>
  <si>
    <t>Offset</t>
  </si>
  <si>
    <t>OFSET</t>
  </si>
  <si>
    <t>Refund</t>
  </si>
  <si>
    <t>RFD</t>
  </si>
  <si>
    <t>Relevant Paragraph</t>
  </si>
  <si>
    <t>CHANGAMWE BRANCH</t>
  </si>
  <si>
    <t>Category A</t>
  </si>
  <si>
    <t>MOMBASA PORT BRANCH</t>
  </si>
  <si>
    <t>Category B</t>
  </si>
  <si>
    <t>MURANG'A BRANCH</t>
  </si>
  <si>
    <t>Category D</t>
  </si>
  <si>
    <t>NAIROBI CARD CENTRE BRANCH</t>
  </si>
  <si>
    <t>Category E</t>
  </si>
  <si>
    <t>NAIROBI FOREIGN EXCHANGE</t>
  </si>
  <si>
    <t>Category F</t>
  </si>
  <si>
    <t>HARAMBEE AVENUE</t>
  </si>
  <si>
    <t>GITHURAI</t>
  </si>
  <si>
    <t>PREMIER BRANCH</t>
  </si>
  <si>
    <t>ACCRA ROAD BRANCH</t>
  </si>
  <si>
    <t>HURLINGHAM BRANCH</t>
  </si>
  <si>
    <t>DEVELOPMENT HOUSE</t>
  </si>
  <si>
    <t>LAVINGTON</t>
  </si>
  <si>
    <t>MUTHAIGA BRANCH</t>
  </si>
  <si>
    <t>KENYATTA AVENUE BRANCH</t>
  </si>
  <si>
    <t>KAREN BRANCH</t>
  </si>
  <si>
    <t>UNION TOWERS BRANCH</t>
  </si>
  <si>
    <t>J.K.I.A. BRANCH</t>
  </si>
  <si>
    <t>ENTERP. ROAD/RAHIMTULL</t>
  </si>
  <si>
    <t>CHANGAMWE ROAD BRANCH</t>
  </si>
  <si>
    <t>PIONEER HOUSE BRANCH</t>
  </si>
  <si>
    <t>PLAZA BRANCH</t>
  </si>
  <si>
    <t>BUTERE ROAD</t>
  </si>
  <si>
    <t>HAILE SELASSIE AVENUE BRANCH</t>
  </si>
  <si>
    <t>NAIROBI UNIVERSITY</t>
  </si>
  <si>
    <t>MARKET STREET BRANCH</t>
  </si>
  <si>
    <t>QUEENSWAY BRANCH</t>
  </si>
  <si>
    <t>NAKUMATT - EMBAKASI</t>
  </si>
  <si>
    <t>LOITA STREET</t>
  </si>
  <si>
    <t>NAIVASHA BRANCH</t>
  </si>
  <si>
    <t>NAKURU EAST BRANCH</t>
  </si>
  <si>
    <t>NAKURU WEST BRANCH</t>
  </si>
  <si>
    <t>NANYUKI BRANCH</t>
  </si>
  <si>
    <t>NAROK BRANCH</t>
  </si>
  <si>
    <t>ISIOLO</t>
  </si>
  <si>
    <t>NYAHURURU BRANCH</t>
  </si>
  <si>
    <t>NYERI BRANCH</t>
  </si>
  <si>
    <t>OL KALOU BRANCH</t>
  </si>
  <si>
    <t>VOI BRANCH</t>
  </si>
  <si>
    <t>WEBUYE BRANCH</t>
  </si>
  <si>
    <t>OTHAYA BRANCH</t>
  </si>
  <si>
    <t>KARATINA BRANCH</t>
  </si>
  <si>
    <t>KIKUYU</t>
  </si>
  <si>
    <t>KISUMU CURRENCY CENTRE</t>
  </si>
  <si>
    <t>MOMBASA BRANCH</t>
  </si>
  <si>
    <t>HAILE SELASSIE AVENUE</t>
  </si>
  <si>
    <t>UPPER HILL BRANCH</t>
  </si>
  <si>
    <t>CHIROMO BRANCH</t>
  </si>
  <si>
    <t>PARKLANDS</t>
  </si>
  <si>
    <t>UN GIGIRI BRANCH</t>
  </si>
  <si>
    <t>KOINANGE STREET</t>
  </si>
  <si>
    <t>ATHI RIVER</t>
  </si>
  <si>
    <t>MURANG`A BRANCH</t>
  </si>
  <si>
    <t>CO-OPERATIVE HOUSE BRANCH</t>
  </si>
  <si>
    <t>UKULIMA HOUSE BRANCH</t>
  </si>
  <si>
    <t>MOI AVENUE</t>
  </si>
  <si>
    <t>STAFF TRAINING CENTRE BRANCH</t>
  </si>
  <si>
    <t>WAKULIMA MARKET</t>
  </si>
  <si>
    <t>EASTLEIGH</t>
  </si>
  <si>
    <t>UNIVERSITY WAY BRANCH</t>
  </si>
  <si>
    <t>STIMA PLAZA</t>
  </si>
  <si>
    <t>CANNON BRANCH</t>
  </si>
  <si>
    <t>KIMATHI</t>
  </si>
  <si>
    <t>CITY HALL</t>
  </si>
  <si>
    <t>NGONG ROAD BUSINESS CENTER</t>
  </si>
  <si>
    <t>KAYOLE</t>
  </si>
  <si>
    <t>NAIVASHA</t>
  </si>
  <si>
    <t>NAKURU BRANCH</t>
  </si>
  <si>
    <t>UKUNDA</t>
  </si>
  <si>
    <t>KAKAMEGA</t>
  </si>
  <si>
    <t>ATHI RIVER BRANCH</t>
  </si>
  <si>
    <t>MTWAPA</t>
  </si>
  <si>
    <t>VILLAGE MARKET</t>
  </si>
  <si>
    <t>DIANI BRANCH</t>
  </si>
  <si>
    <t>KOINANGE STREET BRANCH</t>
  </si>
  <si>
    <t>LOITA STREET BRANCH</t>
  </si>
  <si>
    <t>WESTGATE</t>
  </si>
  <si>
    <t>INDUSTRIAL AREA</t>
  </si>
  <si>
    <t>KISII</t>
  </si>
  <si>
    <t>OTC</t>
  </si>
  <si>
    <t>BUSIA</t>
  </si>
  <si>
    <t>EMBU</t>
  </si>
  <si>
    <t>GILGIL</t>
  </si>
  <si>
    <t>KERUGOYA</t>
  </si>
  <si>
    <t>KIAMBU</t>
  </si>
  <si>
    <t>KITUI</t>
  </si>
  <si>
    <t>MACHAKOS</t>
  </si>
  <si>
    <t>MERU</t>
  </si>
  <si>
    <t>MOLO</t>
  </si>
  <si>
    <t>MOMBASA</t>
  </si>
  <si>
    <t>MUMIAS</t>
  </si>
  <si>
    <t>MURANGA</t>
  </si>
  <si>
    <t>EQUITY BANK HEAD OFFICE</t>
  </si>
  <si>
    <t>EQUITY BANK CORPORATE</t>
  </si>
  <si>
    <t>EQUITY BANK FOURWAYS</t>
  </si>
  <si>
    <t>TOM MBOYA</t>
  </si>
  <si>
    <t>MAMA NGINA</t>
  </si>
  <si>
    <t>COMMUNITY</t>
  </si>
  <si>
    <t>HARAMBEE AVENU</t>
  </si>
  <si>
    <t>KIMATHI STREET</t>
  </si>
  <si>
    <t>KARIOBANGI</t>
  </si>
  <si>
    <t>ONGATA RONGAI</t>
  </si>
  <si>
    <t>KAWANGWARE</t>
  </si>
  <si>
    <t>NGONG</t>
  </si>
  <si>
    <t>EQUITY CENTRE</t>
  </si>
  <si>
    <t>DONHOLM</t>
  </si>
  <si>
    <t>NANYUKI</t>
  </si>
  <si>
    <t>NAROK</t>
  </si>
  <si>
    <t>NYAHURURU</t>
  </si>
  <si>
    <t>NYERI</t>
  </si>
  <si>
    <t>OL-KALAO</t>
  </si>
  <si>
    <t>RUIRU</t>
  </si>
  <si>
    <t>VOI</t>
  </si>
  <si>
    <t>OTHAYA</t>
  </si>
  <si>
    <t>KARATINA</t>
  </si>
  <si>
    <t>CHUKA</t>
  </si>
  <si>
    <t>WOTE</t>
  </si>
  <si>
    <t>NYAMIRA</t>
  </si>
  <si>
    <t>KAJIADO</t>
  </si>
  <si>
    <t>LIMURU</t>
  </si>
  <si>
    <t>KANGEMA</t>
  </si>
  <si>
    <t>MBITA POINT</t>
  </si>
  <si>
    <t>NAMANGA</t>
  </si>
  <si>
    <t>LOITOKTOK</t>
  </si>
  <si>
    <t>KITENGELA</t>
  </si>
  <si>
    <t>KANGARI</t>
  </si>
  <si>
    <t>BONDO</t>
  </si>
  <si>
    <t>GATUNDU</t>
  </si>
  <si>
    <t>KIRIAINI</t>
  </si>
  <si>
    <t>MUKURWE-INI</t>
  </si>
  <si>
    <t>MURARANDI</t>
  </si>
  <si>
    <t>BUNGOMA</t>
  </si>
  <si>
    <t>GITHUNGURI</t>
  </si>
  <si>
    <t>NAKURU NJORO HOUSE</t>
  </si>
  <si>
    <t>NAKURU FINANCE HOUSE</t>
  </si>
  <si>
    <t>FOURWAYS TOWERS CORPORATE</t>
  </si>
  <si>
    <t>KTDA PLAZA CORPORATE</t>
  </si>
  <si>
    <t>NJURI NCHEKE/TOM MBOYA</t>
  </si>
  <si>
    <t>KAPSABET</t>
  </si>
  <si>
    <t>KISUMU</t>
  </si>
  <si>
    <t>KITALE</t>
  </si>
  <si>
    <t>MACKAKOS</t>
  </si>
  <si>
    <t>MOMBASA11</t>
  </si>
  <si>
    <t>KIRIA-INI</t>
  </si>
  <si>
    <t>SONALUX</t>
  </si>
  <si>
    <t>KENYATTA AVENUE</t>
  </si>
  <si>
    <t>CARGEN HOUSE</t>
  </si>
  <si>
    <t>DONHOLM ROUNDABOUT/CALTEX</t>
  </si>
  <si>
    <t>FOURWAYS TOWERS</t>
  </si>
  <si>
    <t>KTDA PLAZA</t>
  </si>
  <si>
    <t>GIKOMBA</t>
  </si>
  <si>
    <t>DIANI</t>
  </si>
  <si>
    <t>CITY CENTRE BRANCH</t>
  </si>
  <si>
    <t>MALINDI</t>
  </si>
  <si>
    <t>WABERA STREET</t>
  </si>
  <si>
    <t>HEAD OFFICE/CLEARING CENTER</t>
  </si>
  <si>
    <t>GARISSA</t>
  </si>
  <si>
    <t>PANAFRICAN HOUSE MOI AVENUE</t>
  </si>
  <si>
    <t>gnagar</t>
  </si>
  <si>
    <t>HDFC Ahmedabad</t>
  </si>
  <si>
    <t>KILIFI</t>
  </si>
  <si>
    <t>BIASHARA</t>
  </si>
  <si>
    <t>WILSON AIRPORT</t>
  </si>
  <si>
    <t>CLEARING CENTRE</t>
  </si>
  <si>
    <t>MWEA</t>
  </si>
  <si>
    <t>KIBWEZI</t>
  </si>
  <si>
    <t>KILIMANI</t>
  </si>
  <si>
    <t>KENYATTA MARKET</t>
  </si>
  <si>
    <t>BURU BURU</t>
  </si>
  <si>
    <t>KENYATTA AVU</t>
  </si>
  <si>
    <t>NAIVASHA RD</t>
  </si>
  <si>
    <t>KONGOWEA</t>
  </si>
  <si>
    <t>KERICHO</t>
  </si>
  <si>
    <t>KENGELENI</t>
  </si>
  <si>
    <t>EASTLEIGH BRANCH</t>
  </si>
  <si>
    <t>MOI AVE./TOM MBOY</t>
  </si>
  <si>
    <t>KIPANDE HOUSE BRANCH</t>
  </si>
  <si>
    <t>K.I.C.C. BRANCH</t>
  </si>
  <si>
    <t>TOM MBOYA STREET BRANCH</t>
  </si>
  <si>
    <t>IND. AREA/GATEWAY/MASHARIKI</t>
  </si>
  <si>
    <t>RIVER ROAD BRANCH</t>
  </si>
  <si>
    <t>MUINDI MBINGU STREET BRANCH</t>
  </si>
  <si>
    <t>TRUSTEE DEPARTMENT BRANCH</t>
  </si>
  <si>
    <t>JOGOO/BURU BURU B</t>
  </si>
  <si>
    <t>CARD CENTRE BRANCH</t>
  </si>
  <si>
    <t>SARIT/KAREN BRANCH</t>
  </si>
  <si>
    <t>GIGIRI U.N.E.P. BRANCH</t>
  </si>
  <si>
    <t>MASHARIKI BRANCH</t>
  </si>
  <si>
    <t>HARAMBEE PLAZA BRANCH</t>
  </si>
  <si>
    <t>MILIMANI</t>
  </si>
  <si>
    <t>VILLAGE MARKET BRANCH</t>
  </si>
  <si>
    <t>NAKURU BRANCH/EGERTON UN</t>
  </si>
  <si>
    <t>MENENGAI CRATER BRANCH</t>
  </si>
  <si>
    <t>RUIRU BRANCH</t>
  </si>
  <si>
    <t>SIAYA BRANCH</t>
  </si>
  <si>
    <t>WAJIR BRANCH</t>
  </si>
  <si>
    <t>KARATINA  BRANCH</t>
  </si>
  <si>
    <t>KIKUYU BRANCH</t>
  </si>
  <si>
    <t>MATUU BRANCH</t>
  </si>
  <si>
    <t>NYAMIRA BRANCH</t>
  </si>
  <si>
    <t>ITEN BRANCH</t>
  </si>
  <si>
    <t>SOTIK BRANCH</t>
  </si>
  <si>
    <t>BOMET BRANCH</t>
  </si>
  <si>
    <t>KAJIADO BRANCH</t>
  </si>
  <si>
    <t>KANGEMA BRANCH</t>
  </si>
  <si>
    <t>NANDI HILLS BRANCH</t>
  </si>
  <si>
    <t>LOITOKITOK BRANCH</t>
  </si>
  <si>
    <t>ONGATA RONGAI BRANCH</t>
  </si>
  <si>
    <t>MARIGAT SATELLITE</t>
  </si>
  <si>
    <t>HOLA BRANCH</t>
  </si>
  <si>
    <t>WUNDANYI BRANCH</t>
  </si>
  <si>
    <t>TALA BRANCH</t>
  </si>
  <si>
    <t>WOTE BRANCH</t>
  </si>
  <si>
    <t>MWINGI BRANCH</t>
  </si>
  <si>
    <t>UKUNDA BRANCH</t>
  </si>
  <si>
    <t>MOI'S BRID. SATEL</t>
  </si>
  <si>
    <t>KAPSOKWONY BRANCH</t>
  </si>
  <si>
    <t>MUKURUWEINI BRANCH</t>
  </si>
  <si>
    <t>ELDAMA RAVINE</t>
  </si>
  <si>
    <t>ELDORET WEST</t>
  </si>
  <si>
    <t>GILGIL BRANCH</t>
  </si>
  <si>
    <t>KAPENGURIA BRANCH</t>
  </si>
  <si>
    <t>KEHANCHA BRANCH</t>
  </si>
  <si>
    <t>MWEA  BRANCH</t>
  </si>
  <si>
    <t>KISUMU WEST BRANCH</t>
  </si>
  <si>
    <t>KITUI/MUTOMO</t>
  </si>
  <si>
    <t>LAMU BRANCH</t>
  </si>
  <si>
    <t>LODWAR BRANCH</t>
  </si>
  <si>
    <t>MACHAKOS/EMALI SATTELITE</t>
  </si>
  <si>
    <t>MANDERA BRANCH</t>
  </si>
  <si>
    <t>MARALAL BRANCH</t>
  </si>
  <si>
    <t>MARSABIT BRANCH</t>
  </si>
  <si>
    <t>MERU BRANCH/ MAUA BRANCH</t>
  </si>
  <si>
    <t>TREASURY SQUARE/KENGELENI SATT</t>
  </si>
  <si>
    <t>KILINDINI ROAD BRANCH</t>
  </si>
  <si>
    <t>TOWN CENTRE BRANCH</t>
  </si>
  <si>
    <t>MVITA BRANCH</t>
  </si>
  <si>
    <t>CANNON HOUSE BRANCH</t>
  </si>
  <si>
    <t>MUMIAS BRANCH</t>
  </si>
  <si>
    <t>MURANG'A/MAKUYU</t>
  </si>
  <si>
    <t>CARD CENRE BRANCH</t>
  </si>
  <si>
    <t>HOSPITAL BRANCH</t>
  </si>
  <si>
    <t>HILL BRANCH</t>
  </si>
  <si>
    <t>AWENDO BRANCH</t>
  </si>
  <si>
    <t>BUSIA BRANCH</t>
  </si>
  <si>
    <t>MUHORONI BRANCH</t>
  </si>
  <si>
    <t>HARAMBEE AVENUE BRANCH</t>
  </si>
  <si>
    <t>PRESTIGE</t>
  </si>
  <si>
    <t>THE MALL WESTLANDS</t>
  </si>
  <si>
    <t>HARBOUR BRANCH</t>
  </si>
  <si>
    <t>THE JUNCTION</t>
  </si>
  <si>
    <t>NIC MASABA ROAD</t>
  </si>
  <si>
    <t>NKRUMAH ROAD</t>
  </si>
  <si>
    <t>NYALI</t>
  </si>
  <si>
    <t>20TH CENTURY PLAZA BRANCH</t>
  </si>
  <si>
    <t>NAIROBI BRANCH</t>
  </si>
  <si>
    <t>CAPITAL CENTRE</t>
  </si>
  <si>
    <t>Chandkheda</t>
  </si>
  <si>
    <t>TREASURY SQUARE BRANCH</t>
  </si>
  <si>
    <t>MAKUPA BRANCH</t>
  </si>
  <si>
    <t>KIMATHI ST./TUBMAN RD BRANCH</t>
  </si>
  <si>
    <t>KIMATHI STREET SAVINGS BRANCH</t>
  </si>
  <si>
    <t>YAYA CENTRE BRANCH</t>
  </si>
  <si>
    <t>LANGATA SHOPPING CENTRE BRANCH</t>
  </si>
  <si>
    <t>UKAY</t>
  </si>
  <si>
    <t>KABARNET BRANCH</t>
  </si>
  <si>
    <t>GATUNDU BRANCH</t>
  </si>
  <si>
    <t>Section</t>
  </si>
  <si>
    <t>Name</t>
  </si>
  <si>
    <t>MaxLength</t>
  </si>
  <si>
    <t>Mandatory</t>
  </si>
  <si>
    <t>Validation Rule1</t>
  </si>
  <si>
    <t>Error Message</t>
  </si>
  <si>
    <t>Validation Rule2</t>
  </si>
  <si>
    <t>Validation Rule3</t>
  </si>
  <si>
    <t>Section Description</t>
  </si>
  <si>
    <t>A_Basic_Info</t>
  </si>
  <si>
    <t>Personal Identification Number</t>
  </si>
  <si>
    <t>isMandatory(SecA.TaxPayerPIN,"Y")</t>
  </si>
  <si>
    <t>validatePIN(SecA.TaxPayerPIN)</t>
  </si>
  <si>
    <t>Enter PIN in proper format.</t>
  </si>
  <si>
    <t>validateLength(SecA.TaxPayerPIN,15)</t>
  </si>
  <si>
    <t>Section A : Return Information</t>
  </si>
  <si>
    <t>Type of Return</t>
  </si>
  <si>
    <t>isMandatory(SecA.RtnType,"Y")</t>
  </si>
  <si>
    <t>validateAlphabetOnly(SecA.RtnType)</t>
  </si>
  <si>
    <t>validateLength(SecA.RtnType,15)</t>
  </si>
  <si>
    <t>isMandatory(SecA.EntityType,"Y")</t>
  </si>
  <si>
    <t>Return Period From</t>
  </si>
  <si>
    <t>isMandatory(SecA.RtnPdFrom,"Y")</t>
  </si>
  <si>
    <t>Return Period To</t>
  </si>
  <si>
    <t>isMandatory(SecA.RtnPdTo,"Y")</t>
  </si>
  <si>
    <t>Total Sales</t>
  </si>
  <si>
    <t>isMandatory(SecB.TotalSales,"N")</t>
  </si>
  <si>
    <t>validateCurrencyFormat(SecB.TotalSales)</t>
  </si>
  <si>
    <t>Please enter numeric value only.</t>
  </si>
  <si>
    <t>validateLength(SecB.TotalSales,15)</t>
  </si>
  <si>
    <t>Total  Output VAT</t>
  </si>
  <si>
    <t>isMandatory(SecB.OutputTaxCharged,"N")</t>
  </si>
  <si>
    <t>validateCurrencyFormat(SecB.OutputTaxCharged)</t>
  </si>
  <si>
    <t>validateLength(SecB.OutputTaxCharged,15)</t>
  </si>
  <si>
    <t>Total Purchases</t>
  </si>
  <si>
    <t>isMandatory(SecC.TotalPurchases,"N")</t>
  </si>
  <si>
    <t>validateCurrencyFormat(SecC.TotalPurchases)</t>
  </si>
  <si>
    <t>validateLength(SecC.TotalPurchases,15)</t>
  </si>
  <si>
    <t>Total Input VAT</t>
  </si>
  <si>
    <t>isMandatory(SecC.TotalVatPurCharged,"N")</t>
  </si>
  <si>
    <t>validateCurrencyFormat(SecC.TotalVatPurCharged)</t>
  </si>
  <si>
    <t>validateLength(SecC.TotalVatPurCharged,15)</t>
  </si>
  <si>
    <t>Output VAT</t>
  </si>
  <si>
    <t>Input VAT</t>
  </si>
  <si>
    <t>VAT Claimable on Services Imported into Kenya (Total of "Amount of VAT Claimable" from Schedule 10)</t>
  </si>
  <si>
    <t>isMandatory(Sch10.AmountVatClaimableListTO,"N")</t>
  </si>
  <si>
    <t>validateCurrencyFormat(Sch10.AmountVatClaimableListTO)</t>
  </si>
  <si>
    <t>validateLength(Sch10.AmountVatClaimableListTO,15)</t>
  </si>
  <si>
    <t>Input VAT attributable to Only Exempt Supplies</t>
  </si>
  <si>
    <t>isMandatory(SecD.InputVatExemptSup,"N")</t>
  </si>
  <si>
    <t>validateCurrencyFormat(SecD.InputVatExemptSup)</t>
  </si>
  <si>
    <t>validateLength(SecD.InputVatExemptSup,15)</t>
  </si>
  <si>
    <t>Input VAT attributable to Taxable and Exempt Supplies</t>
  </si>
  <si>
    <t>isMandatory(SecD.InputVatTaxbleExemptSup,"N")</t>
  </si>
  <si>
    <t>validateCurrencyFormat(SecD.InputVatTaxbleExemptSup)</t>
  </si>
  <si>
    <t>validateLength(SecD.InputVatTaxbleExemptSup,15)</t>
  </si>
  <si>
    <t>Less : Non - Deductible Input VAT</t>
  </si>
  <si>
    <t>isMandatory(SecD.LessNonDedTnputTax,"N")</t>
  </si>
  <si>
    <t>validateCurrencyFormat(SecD.LessNonDedTnputTax)</t>
  </si>
  <si>
    <t>validateLength(SecD.LessNonDedTnputTax,15)</t>
  </si>
  <si>
    <t>Deductible Input VAT</t>
  </si>
  <si>
    <t>isMandatory(SecD.DeductableIPTax,"N")</t>
  </si>
  <si>
    <t>validateCurrencyFormat(SecD.DeductableIPTax)</t>
  </si>
  <si>
    <t>validateLength(SecD.DeductableIPTax,15)</t>
  </si>
  <si>
    <t>VAT Payable / Credit Due for the period</t>
  </si>
  <si>
    <t>isMandatory(SecD.FinalTaxPayable,"N")</t>
  </si>
  <si>
    <t>validateCurrencyFormat(SecD.FinalTaxPayable)</t>
  </si>
  <si>
    <t>validateLength(SecD.FinalTaxPayable,15)</t>
  </si>
  <si>
    <t>Credit Brought Forward from previous month</t>
  </si>
  <si>
    <t>isMandatory(SecD.CrdtBroughtFrwd,"N")</t>
  </si>
  <si>
    <t>validateCurrencyFormat(SecD.CrdtBroughtFrwd)</t>
  </si>
  <si>
    <t>validateLength(SecD.CrdtBroughtFrwd,15)</t>
  </si>
  <si>
    <t>Add : Refund Claim Lodged</t>
  </si>
  <si>
    <t>isMandatory(SecD.AddRefundClaimPaid,"N")</t>
  </si>
  <si>
    <t>validateCurrencyFormat(SecD.AddRefundClaimPaid)</t>
  </si>
  <si>
    <t>validateLength(SecD.AddRefundClaimPaid,15)</t>
  </si>
  <si>
    <t xml:space="preserve">Total VAT Payable </t>
  </si>
  <si>
    <t>isMandatory(SecD.TotalVatPyble,"N")</t>
  </si>
  <si>
    <t>validateCurrencyFormat(SecD.TotalVatPyble)</t>
  </si>
  <si>
    <t>Total VAT Paid (Total of " Amount of VAT Paid" from Schedule 11)</t>
  </si>
  <si>
    <t>isMandatory(Sch10.VATPaidDtlsTO,"N")</t>
  </si>
  <si>
    <t>validateCurrencyFormat(Sch10.VATPaidDtlsTO)</t>
  </si>
  <si>
    <t>validateLength(Sch10.VATPaidDtlsTO,15)</t>
  </si>
  <si>
    <t xml:space="preserve">Net VAT Payable / Credit Carried Forward </t>
  </si>
  <si>
    <t>isMandatory(SecD.NetTaxPayableClaimable,"N")</t>
  </si>
  <si>
    <t>validateCurrencyFormat(SecD.NetTaxPayableClaimable)</t>
  </si>
  <si>
    <t>IF((TaxDue.TotalVatPurCharged+TaxDue.AmountVatClaimableListTO)&lt;0,"NE",compareThrAmntValues(SecC.TotalVatPurCharged,TaxDue.AmountVatClaimableListTO,SecD.InputVatExemptSup,SecD.InputVatTaxbleExemptSup))</t>
  </si>
  <si>
    <t xml:space="preserve">The Sum of Input VAT attributable to Only Exempt Supplies and Input VAT attributable to Taxable and Exempt Supplies cannot be greater than the Sum of  Input VAT and VAT Claimable on Services Imported into Kenya.
</t>
  </si>
  <si>
    <t>compareTwoAmntValues(SecD.CrdtBroughtFrwd,SecD.AddRefundClaimPaid)</t>
  </si>
  <si>
    <t>The Add:Refund Claim Lodged cannot be greater than the Credit Brought Forward from previous month.</t>
  </si>
  <si>
    <t>K_VAT_Payment_Credits</t>
  </si>
  <si>
    <t>Section K : Details of VAT Paid</t>
  </si>
  <si>
    <t>isMandatory(Sch10.VATAdvcSelfAssPaidDtlsTO,"N")</t>
  </si>
  <si>
    <t>validateAdvTax1(SecD.TotalVatPyble,Sch10.VATAdvcSelfAssPaidDtlsTO,Sch10.VATPaidDtlsTO,Sch10.VATSelfAssPaidDtlsTO)</t>
  </si>
  <si>
    <t>You do not have any net tax payable in N_VAT_Due (23) for the period. You cannot declare self assessment tax / advance payment details.</t>
  </si>
  <si>
    <t>isMandatory(Sch10.VATSelfAssPaidDtlsTO,"N")</t>
  </si>
  <si>
    <t>validateAdvTax2(SecD.TotalVatPyble,Sch10.VATAdvcSelfAssPaidDtlsTO,Sch10.VATPaidDtlsTO,Sch10.VATSelfAssPaidDtlsTO)</t>
  </si>
  <si>
    <t>You have declared the self assessment tax as well as advance payment details. The total amount declared is more than  the net tax payable  in N_VAT_Due (23). Please restrict the amount to net tax payable first adjusting through self assessment tax and then through advance payment.</t>
  </si>
  <si>
    <t>Section K2 : Self Assessment Tax</t>
  </si>
  <si>
    <t>validateAdvTax3(SecD.TotalVatPyble,Sch10.VATAdvcSelfAssPaidDtlsTO,Sch10.VATPaidDtlsTO,Sch10.VATSelfAssPaidDtlsTO)</t>
  </si>
  <si>
    <t>You have declared the self assessment tax payment details. The total amount declared in self assessment tax paid is more than the net tax payable in N_VAT_Due (23). Please restrict the amount to net tax payable.</t>
  </si>
  <si>
    <t>Section K1 : Advance Payment</t>
  </si>
  <si>
    <t>validateAdvTax4(SecD.TotalVatPyble,Sch10.VATAdvcSelfAssPaidDtlsTO,Sch10.VATPaidDtlsTO,Sch10.VATSelfAssPaidDtlsTO)</t>
  </si>
  <si>
    <t>You have declared the advance payment details. The total amount declared in advance payment paid is more than the net tax payable in N_VAT_Due (23). Please restrict the amount to net tax payable.</t>
  </si>
  <si>
    <t>Category</t>
  </si>
  <si>
    <t>Column Name &amp; Validation</t>
  </si>
  <si>
    <t>SectionName</t>
  </si>
  <si>
    <t>B_General_Rated_Sales_Dtls</t>
  </si>
  <si>
    <t>PIN of Purchaser</t>
  </si>
  <si>
    <t>Name of Purchaser</t>
  </si>
  <si>
    <t>ETR Serial Number</t>
  </si>
  <si>
    <t>Invoice Date</t>
  </si>
  <si>
    <t>Invoice Number</t>
  </si>
  <si>
    <t>Description of Goods / Services</t>
  </si>
  <si>
    <t>Taxable Value</t>
  </si>
  <si>
    <t xml:space="preserve">Amount of VAT </t>
  </si>
  <si>
    <t>Relevant Invoice Number</t>
  </si>
  <si>
    <t>Relevant Invoice Date</t>
  </si>
  <si>
    <t>Section B :  Sales and Output Tax on Sales (General Rate)</t>
  </si>
  <si>
    <t>isMandatory(Sch1.GeneralRateSalesDtlsList,"Y","A")</t>
  </si>
  <si>
    <t>isMandatory(Sch1.GeneralRateSalesDtlsList,"Y","B")</t>
  </si>
  <si>
    <t>isMandatory(Sch1.GeneralRateSalesDtlsList,"N","C")</t>
  </si>
  <si>
    <t>isMandatory(Sch1.GeneralRateSalesDtlsList,"Y","D")</t>
  </si>
  <si>
    <t>isMandatory(Sch1.GeneralRateSalesDtlsList,"Y","E")</t>
  </si>
  <si>
    <t>isMandatory(Sch1.GeneralRateSalesDtlsList,"Y","F")</t>
  </si>
  <si>
    <t>isMandatory(Sch1.GeneralRateSalesDtlsList,"Y","G")</t>
  </si>
  <si>
    <t>isMandatory(Sch1.GeneralRateSalesDtlsList,"Y","H")</t>
  </si>
  <si>
    <t>isMandatory(Sch1.GeneralRateSalesDtlsList,"Y","I")</t>
  </si>
  <si>
    <t>isMandatory(Sch1.GeneralRateSalesDtlsList,"Y","J")</t>
  </si>
  <si>
    <t>validateLength(Sch1.GeneralRateSalesDtlsList,11,"A")</t>
  </si>
  <si>
    <t>validateAlphaNumericWithSpace(Sch1.GeneralRateSalesDtlsList,"B")</t>
  </si>
  <si>
    <t>validateAlphaNumeric(Sch1.GeneralRateSalesDtlsList,"C")</t>
  </si>
  <si>
    <t>validateLength(Sch1.GeneralRateSalesDtlsList,10,"D")</t>
  </si>
  <si>
    <t>validateAlphaNumericWithSpace(Sch1.GeneralRateSalesDtlsList,"E")</t>
  </si>
  <si>
    <t>validateAlphaNumericWithSpace(Sch1.GeneralRateSalesDtlsList,"F")</t>
  </si>
  <si>
    <t>validateCurrencyFormat(Sch1.GeneralRateSalesDtlsList,"G")</t>
  </si>
  <si>
    <t>validateCurrencyFormat(Sch1.GeneralRateSalesDtlsList,"H")</t>
  </si>
  <si>
    <t>validateAlphaNumericWithSpace(Sch1.GeneralRateSalesDtlsList,"I")</t>
  </si>
  <si>
    <t>validateLength(Sch1.GeneralRateSalesDtlsList,10,"J")</t>
  </si>
  <si>
    <t>Please Enter AlphaNumeric Data. Special characters are not allowed.</t>
  </si>
  <si>
    <t>validateLength(Sch1.GeneralRateSalesDtlsList,50,"B")</t>
  </si>
  <si>
    <t>validateLength(Sch1.GeneralRateSalesDtlsList,20,"C")</t>
  </si>
  <si>
    <t>validateDate(Sch1.GeneralRateSalesDtlsList,"D")</t>
  </si>
  <si>
    <t>validateLength(Sch1.GeneralRateSalesDtlsList,200,"F")</t>
  </si>
  <si>
    <t>validateLength(Sch1.GeneralRateSalesDtlsList,15,"G")</t>
  </si>
  <si>
    <t>validateLength(Sch1.GeneralRateSalesDtlsList,15,"H")</t>
  </si>
  <si>
    <t>validateDate(Sch1.GeneralRateSalesDtlsList,"J")</t>
  </si>
  <si>
    <t>The PIN of Purchaser can not be same as  Taxpayer's PIN.</t>
  </si>
  <si>
    <t>Please enter date in proper format</t>
  </si>
  <si>
    <t>Please enter date in proper format.</t>
  </si>
  <si>
    <t>Validation Rule4</t>
  </si>
  <si>
    <t>Relevant Invoice Date and Number do not reconcile</t>
  </si>
  <si>
    <t>C_Other_Rated_Sales_Dtls</t>
  </si>
  <si>
    <t>Section C :  Sales and Output Tax on Sales (Other Rate)</t>
  </si>
  <si>
    <t>isMandatory(Sch2.OtherRateSalesDtlsList,"Y","A")</t>
  </si>
  <si>
    <t>isMandatory(Sch2.OtherRateSalesDtlsList,"Y","B")</t>
  </si>
  <si>
    <t>isMandatory(Sch2.OtherRateSalesDtlsList,"N","C")</t>
  </si>
  <si>
    <t>isMandatory(Sch2.OtherRateSalesDtlsList,"Y","D")</t>
  </si>
  <si>
    <t>isMandatory(Sch2.OtherRateSalesDtlsList,"Y","E")</t>
  </si>
  <si>
    <t>isMandatory(Sch2.OtherRateSalesDtlsList,"Y","F")</t>
  </si>
  <si>
    <t>isMandatory(Sch2.OtherRateSalesDtlsList,"Y","G")</t>
  </si>
  <si>
    <t>isMandatory(Sch2.OtherRateSalesDtlsList,"Y","H")</t>
  </si>
  <si>
    <t>isMandatory(Sch2.OtherRateSalesDtlsList,"Y","I")</t>
  </si>
  <si>
    <t>isMandatory(Sch2.OtherRateSalesDtlsList,"Y","J")</t>
  </si>
  <si>
    <t>validateLength(Sch2.OtherRateSalesDtlsList,11,"A")</t>
  </si>
  <si>
    <t>validateAlphaNumericWithSpace(Sch2.OtherRateSalesDtlsList,"B")</t>
  </si>
  <si>
    <t>validateAlphaNumeric(Sch2.OtherRateSalesDtlsList,"C")</t>
  </si>
  <si>
    <t>validateLength(Sch2.OtherRateSalesDtlsList,10,"D")</t>
  </si>
  <si>
    <t>validateAlphaNumericWithSpace(Sch2.OtherRateSalesDtlsList,"E")</t>
  </si>
  <si>
    <t>validateAlphaNumericWithSpace(Sch2.OtherRateSalesDtlsList,"F")</t>
  </si>
  <si>
    <t>validateCurrencyFormat(Sch2.OtherRateSalesDtlsList,"G")</t>
  </si>
  <si>
    <t>validateCurrencyFormat(Sch2.OtherRateSalesDtlsList,"H")</t>
  </si>
  <si>
    <t>validateAlphaNumericWithSpace(Sch2.OtherRateSalesDtlsList,"I")</t>
  </si>
  <si>
    <t>validateLength(Sch2.OtherRateSalesDtlsList,10,"J")</t>
  </si>
  <si>
    <t>validateLength(Sch2.OtherRateSalesDtlsList,50,"B")</t>
  </si>
  <si>
    <t>validateLength(Sch2.OtherRateSalesDtlsList,20,"C")</t>
  </si>
  <si>
    <t>validateDate(Sch2.OtherRateSalesDtlsList,"D")</t>
  </si>
  <si>
    <t>validateLength(Sch2.OtherRateSalesDtlsList,200,"F")</t>
  </si>
  <si>
    <t>validateLength(Sch2.OtherRateSalesDtlsList,15,"G")</t>
  </si>
  <si>
    <t>validateLength(Sch2.OtherRateSalesDtlsList,15,"H")</t>
  </si>
  <si>
    <t>validateDate(Sch2.OtherRateSalesDtlsList,"J")</t>
  </si>
  <si>
    <t>D_Zero_Rated_Sales_Dtls</t>
  </si>
  <si>
    <t>Type of Sales</t>
  </si>
  <si>
    <t>Exemption Certificate Number</t>
  </si>
  <si>
    <t>Section D1 : Local or Exemption Availed</t>
  </si>
  <si>
    <t>isMandatory(Sch3.ZeroRateSalesDtlsList,"Y","A")</t>
  </si>
  <si>
    <t>isMandatory(Sch3.ZeroRateSalesDtlsList,"Y","B")</t>
  </si>
  <si>
    <t>isMandatory(Sch3.ZeroRateSalesDtlsList,"Y","C")</t>
  </si>
  <si>
    <t>isMandatory(Sch3.ZeroRateSalesDtlsList,"N","D")</t>
  </si>
  <si>
    <t>isMandatory(Sch3.ZeroRateSalesDtlsList,"Y","E")</t>
  </si>
  <si>
    <t>isMandatory(Sch3.ZeroRateSalesDtlsList,"Y","F")</t>
  </si>
  <si>
    <t>isMandatory(Sch3.ZeroRateSalesDtlsList,"Y","G")</t>
  </si>
  <si>
    <t>isMandatory(Sch3.ZeroRateSalesDtlsList,"Y","H")</t>
  </si>
  <si>
    <t>isMandatory(Sch3.ZeroRateSalesDtlsList,"Y","I")</t>
  </si>
  <si>
    <t>isMandatory(Sch3.ZeroRateSalesDtlsList,"Y","J")</t>
  </si>
  <si>
    <t>validateLength(Sch3.ZeroRateSalesDtlsList,11,"B")</t>
  </si>
  <si>
    <t>validateAlphaNumericWithSpace(Sch3.ZeroRateSalesDtlsList,"C")</t>
  </si>
  <si>
    <t>validateAlphaNumeric(Sch3.ZeroRateSalesDtlsList,"D")</t>
  </si>
  <si>
    <t>validateLength(Sch3.ZeroRateSalesDtlsList,10,"E")</t>
  </si>
  <si>
    <t>validateAlphaNumericWithSpace(Sch3.ZeroRateSalesDtlsList,"F")</t>
  </si>
  <si>
    <t>validateAlphaNumericWithSpace(Sch3.ZeroRateSalesDtlsList,"G")</t>
  </si>
  <si>
    <t>validateAlphaNumeric(Sch3.ZeroRateSalesDtlsList,"I")</t>
  </si>
  <si>
    <t>validateCurrencyFormat(Sch3.ZeroRateSalesDtlsList,"J")</t>
  </si>
  <si>
    <t>validateLength(Sch3.ZeroRateSalesDtlsList,50,"C")</t>
  </si>
  <si>
    <t>validateLength(Sch3.ZeroRateSalesDtlsList,20,"D")</t>
  </si>
  <si>
    <t>validateDate(Sch3.ZeroRateSalesDtlsList,"E")</t>
  </si>
  <si>
    <t>validateLength(Sch3.ZeroRateSalesDtlsList,200,"G")</t>
  </si>
  <si>
    <t>validateLength(Sch3.ZeroRateSalesDtlsList,20,"I")</t>
  </si>
  <si>
    <t>validateLength(Sch3.ZeroRateSalesDtlsList,15,"J")</t>
  </si>
  <si>
    <t>Custom Entry Number</t>
  </si>
  <si>
    <t>Port of Exit</t>
  </si>
  <si>
    <t>Destination Country</t>
  </si>
  <si>
    <t>Section D2 : Exports</t>
  </si>
  <si>
    <t>isMandatory(Sch3.ZeroRateExportList,"N","A")</t>
  </si>
  <si>
    <t>isMandatory(Sch3.ZeroRateExportList,"Y","B")</t>
  </si>
  <si>
    <t>isMandatory(Sch3.ZeroRateExportList,"N","C")</t>
  </si>
  <si>
    <t>isMandatory(Sch3.ZeroRateExportList,"Y","D")</t>
  </si>
  <si>
    <t>isMandatory(Sch3.ZeroRateExportList,"Y","E")</t>
  </si>
  <si>
    <t>isMandatory(Sch3.ZeroRateExportList,"Y","F")</t>
  </si>
  <si>
    <t>isMandatory(Sch3.ZeroRateExportList,"Y","G")</t>
  </si>
  <si>
    <t>isMandatory(Sch3.ZeroRateExportList,"Y","H")</t>
  </si>
  <si>
    <t>isMandatory(Sch3.ZeroRateExportList,"Y","I")</t>
  </si>
  <si>
    <t>isMandatory(Sch3.ZeroRateExportList,"Y","J")</t>
  </si>
  <si>
    <t>isMandatory(Sch3.ZeroRateExportList,"Y","K")</t>
  </si>
  <si>
    <t>validateLength(Sch3.ZeroRateExportList,11,"A")</t>
  </si>
  <si>
    <t>validateAlphaNumericWithSpace(Sch3.ZeroRateExportList,"B")</t>
  </si>
  <si>
    <t>validateAlphaNumeric(Sch3.ZeroRateExportList,"C")</t>
  </si>
  <si>
    <t>validateLength(Sch3.ZeroRateExportList,10,"D")</t>
  </si>
  <si>
    <t>validateAlphaNumericWithSpace(Sch3.ZeroRateExportList,"E")</t>
  </si>
  <si>
    <t>validateAlphaNumericWithSpaceDot(Sch3.ZeroRateExportList,"I")</t>
  </si>
  <si>
    <t>Please Enter AlphaNumeric Data. Special characters space . are allowed.</t>
  </si>
  <si>
    <t>validateLength(Sch3.ZeroRateExportList,50,"B")</t>
  </si>
  <si>
    <t>validateLength(Sch3.ZeroRateExportList,20,"C")</t>
  </si>
  <si>
    <t>validateDate(Sch3.ZeroRateExportList,"D")</t>
  </si>
  <si>
    <t>validateLength(Sch3.ZeroRateExportList,20,"H")</t>
  </si>
  <si>
    <t>validateLength(Sch3.ZeroRateExportList,20,"I")</t>
  </si>
  <si>
    <t>E_Exempted_Sales_Dtls</t>
  </si>
  <si>
    <t>Sales Value</t>
  </si>
  <si>
    <t>Section E :  Sales for the Period (Exempt)</t>
  </si>
  <si>
    <t>isMandatory(Sch4.ExemptSalesDtlsList,"Y","A")</t>
  </si>
  <si>
    <t>isMandatory(Sch4.ExemptSalesDtlsList,"Y","B")</t>
  </si>
  <si>
    <t>isMandatory(Sch4.ExemptSalesDtlsList,"N","C")</t>
  </si>
  <si>
    <t>isMandatory(Sch4.ExemptSalesDtlsList,"Y","D")</t>
  </si>
  <si>
    <t>isMandatory(Sch4.ExemptSalesDtlsList,"Y","E")</t>
  </si>
  <si>
    <t>isMandatory(Sch4.ExemptSalesDtlsList,"Y","F")</t>
  </si>
  <si>
    <t>isMandatory(Sch4.ExemptSalesDtlsList,"Y","G")</t>
  </si>
  <si>
    <t>validateLength(Sch4.ExemptSalesDtlsList,11,"A")</t>
  </si>
  <si>
    <t>validateAlphaNumericWithSpace(Sch4.ExemptSalesDtlsList,"B")</t>
  </si>
  <si>
    <t>validateAlphaNumeric(Sch4.ExemptSalesDtlsList,"C")</t>
  </si>
  <si>
    <t>validateLength(Sch4.ExemptSalesDtlsList,10,"D")</t>
  </si>
  <si>
    <t>validateAlphaNumericWithSpace(Sch4.ExemptSalesDtlsList,"E")</t>
  </si>
  <si>
    <t>validateAlphaNumericWithSpace(Sch4.ExemptSalesDtlsList,"F")</t>
  </si>
  <si>
    <t>validateCurrencyFormat(Sch4.ExemptSalesDtlsList,"G")</t>
  </si>
  <si>
    <t>validateLength(Sch4.ExemptSalesDtlsList,50,"B")</t>
  </si>
  <si>
    <t>validateLength(Sch4.ExemptSalesDtlsList,20,"C")</t>
  </si>
  <si>
    <t>validateDate(Sch4.ExemptSalesDtlsList,"D")</t>
  </si>
  <si>
    <t>validateLength(Sch4.ExemptSalesDtlsList,200,"F")</t>
  </si>
  <si>
    <t>validateLength(Sch4.ExemptSalesDtlsList,15,"G")</t>
  </si>
  <si>
    <t>F_General_Rated_Purchases_Dtls</t>
  </si>
  <si>
    <t>Type of Purchases</t>
  </si>
  <si>
    <t>PIN of Supplier</t>
  </si>
  <si>
    <t>Name of Supplier</t>
  </si>
  <si>
    <t>Section F : Purchases and Input Tax (General Rate)</t>
  </si>
  <si>
    <t>isMandatory(Sch5.InputTaxPurchDtlsGRList,"Y","A")</t>
  </si>
  <si>
    <t>isMandatory(Sch5.InputTaxPurchDtlsGRList,"Y","B")</t>
  </si>
  <si>
    <t>isMandatory(Sch5.InputTaxPurchDtlsGRList,"Y","C")</t>
  </si>
  <si>
    <t>isMandatory(Sch5.InputTaxPurchDtlsGRList,"Y","D")</t>
  </si>
  <si>
    <t>isMandatory(Sch5.InputTaxPurchDtlsGRList,"Y","E")</t>
  </si>
  <si>
    <t>isMandatory(Sch5.InputTaxPurchDtlsGRList,"Y","F")</t>
  </si>
  <si>
    <t>isMandatory(Sch5.InputTaxPurchDtlsGRList,"Y","G")</t>
  </si>
  <si>
    <t>isMandatory(Sch5.InputTaxPurchDtlsGRList,"Y","H")</t>
  </si>
  <si>
    <t>isMandatory(Sch5.InputTaxPurchDtlsGRList,"N","I")</t>
  </si>
  <si>
    <t>isMandatory(Sch5.InputTaxPurchDtlsGRList,"Y","J")</t>
  </si>
  <si>
    <t>isMandatory(Sch5.InputTaxPurchDtlsGRList,"Y","K")</t>
  </si>
  <si>
    <t>validateLength(Sch5.InputTaxPurchDtlsGRList,11,"B")</t>
  </si>
  <si>
    <t>validateAlphaNumericWithSpace(Sch5.InputTaxPurchDtlsGRList,"C")</t>
  </si>
  <si>
    <t>validateLength(Sch5.InputTaxPurchDtlsGRList,10,"D")</t>
  </si>
  <si>
    <t>validateAlphaNumericWithSpace(Sch5.InputTaxPurchDtlsGRList,"E")</t>
  </si>
  <si>
    <t>validateAlphaNumericWithSpace(Sch5.InputTaxPurchDtlsGRList,"F")</t>
  </si>
  <si>
    <t>validateAlphaNumeric(Sch5.InputTaxPurchDtlsGRList,"G")</t>
  </si>
  <si>
    <t>validateCurrencyFormat(Sch5.InputTaxPurchDtlsGRList,"H")</t>
  </si>
  <si>
    <t>validateCurrencyFormat(Sch5.InputTaxPurchDtlsGRList,"I")</t>
  </si>
  <si>
    <t>validateAlphaNumericWithSpace(Sch5.InputTaxPurchDtlsGRList,"J")</t>
  </si>
  <si>
    <t>validateLength(Sch5.InputTaxPurchDtlsGRList,10,"K")</t>
  </si>
  <si>
    <t>validateLength(Sch5.InputTaxPurchDtlsGRList,50,"C")</t>
  </si>
  <si>
    <t>validateDate(Sch5.InputTaxPurchDtlsGRList,"D")</t>
  </si>
  <si>
    <t>validateLength(Sch5.InputTaxPurchDtlsGRList,200,"F")</t>
  </si>
  <si>
    <t>validateLength(Sch5.InputTaxPurchDtlsGRList,20,"G")</t>
  </si>
  <si>
    <t>validateLength(Sch5.InputTaxPurchDtlsGRList,15,"H")</t>
  </si>
  <si>
    <t>validateLength(Sch5.InputTaxPurchDtlsGRList,15,"I")</t>
  </si>
  <si>
    <t>validateDate(Sch5.InputTaxPurchDtlsGRList,"K")</t>
  </si>
  <si>
    <t>The PIN of Supplier can not be same as  Taxpayer's PIN.</t>
  </si>
  <si>
    <t>G_Other_Rated_Purchases_Dtls</t>
  </si>
  <si>
    <t>isMandatory(Sch6.InputTaxPurchDtlsORList,"Y","A")</t>
  </si>
  <si>
    <t>isMandatory(Sch6.InputTaxPurchDtlsORList,"Y","B")</t>
  </si>
  <si>
    <t>isMandatory(Sch6.InputTaxPurchDtlsORList,"Y","C")</t>
  </si>
  <si>
    <t>isMandatory(Sch6.InputTaxPurchDtlsORList,"Y","D")</t>
  </si>
  <si>
    <t>isMandatory(Sch6.InputTaxPurchDtlsORList,"Y","E")</t>
  </si>
  <si>
    <t>isMandatory(Sch6.InputTaxPurchDtlsORList,"Y","F")</t>
  </si>
  <si>
    <t>isMandatory(Sch6.InputTaxPurchDtlsORList,"Y","G")</t>
  </si>
  <si>
    <t>isMandatory(Sch6.InputTaxPurchDtlsORList,"Y","H")</t>
  </si>
  <si>
    <t>isMandatory(Sch6.InputTaxPurchDtlsORList,"N","I")</t>
  </si>
  <si>
    <t>isMandatory(Sch6.InputTaxPurchDtlsORList,"Y","J")</t>
  </si>
  <si>
    <t>isMandatory(Sch6.InputTaxPurchDtlsORList,"Y","K")</t>
  </si>
  <si>
    <t>validateLength(Sch6.InputTaxPurchDtlsORList,11,"B")</t>
  </si>
  <si>
    <t>validateAlphaNumericWithSpace(Sch6.InputTaxPurchDtlsORList,"C")</t>
  </si>
  <si>
    <t>validateLength(Sch6.InputTaxPurchDtlsORList,10,"D")</t>
  </si>
  <si>
    <t>validateAlphaNumericWithSpace(Sch6.InputTaxPurchDtlsORList,"E")</t>
  </si>
  <si>
    <t>validateAlphaNumericWithSpace(Sch6.InputTaxPurchDtlsORList,"F")</t>
  </si>
  <si>
    <t>validateAlphaNumeric(Sch6.InputTaxPurchDtlsORList,"G")</t>
  </si>
  <si>
    <t>validateCurrencyFormat(Sch6.InputTaxPurchDtlsORList,"H")</t>
  </si>
  <si>
    <t>validateCurrencyFormat(Sch6.InputTaxPurchDtlsORList,"I")</t>
  </si>
  <si>
    <t>validateAlphaNumericWithSpace(Sch6.InputTaxPurchDtlsORList,"J")</t>
  </si>
  <si>
    <t>validateLength(Sch6.InputTaxPurchDtlsORList,10,"K")</t>
  </si>
  <si>
    <t>validateLength(Sch6.InputTaxPurchDtlsORList,50,"C")</t>
  </si>
  <si>
    <t>validateDate(Sch6.InputTaxPurchDtlsORList,"D")</t>
  </si>
  <si>
    <t>validateLength(Sch6.InputTaxPurchDtlsORList,200,"F")</t>
  </si>
  <si>
    <t>validateLength(Sch6.InputTaxPurchDtlsORList,20,"G")</t>
  </si>
  <si>
    <t>validateLength(Sch6.InputTaxPurchDtlsORList,15,"H")</t>
  </si>
  <si>
    <t>validateLength(Sch6.InputTaxPurchDtlsORList,15,"I")</t>
  </si>
  <si>
    <t>validateDate(Sch6.InputTaxPurchDtlsORList,"K")</t>
  </si>
  <si>
    <t>H_Zero_Rated_Purchases_Dtls</t>
  </si>
  <si>
    <t>Section H : Schedule for Purchases (Zero Rated)</t>
  </si>
  <si>
    <t>isMandatory(Sch7.InputTaxPurchDtlsExemptList,"Y","A")</t>
  </si>
  <si>
    <t>isMandatory(Sch7.InputTaxPurchDtlsExemptList,"Y","B")</t>
  </si>
  <si>
    <t>isMandatory(Sch7.InputTaxPurchDtlsExemptList,"Y","C")</t>
  </si>
  <si>
    <t>isMandatory(Sch7.InputTaxPurchDtlsExemptList,"Y","D")</t>
  </si>
  <si>
    <t>isMandatory(Sch7.InputTaxPurchDtlsExemptList,"Y","E")</t>
  </si>
  <si>
    <t>isMandatory(Sch7.InputTaxPurchDtlsExemptList,"Y","F")</t>
  </si>
  <si>
    <t>isMandatory(Sch7.InputTaxPurchDtlsExemptList,"Y","G")</t>
  </si>
  <si>
    <t>isMandatory(Sch7.InputTaxPurchDtlsExemptList,"Y","H")</t>
  </si>
  <si>
    <t>validateLength(Sch7.InputTaxPurchDtlsExemptList,11,"B")</t>
  </si>
  <si>
    <t>validateAlphaNumericWithSpace(Sch7.InputTaxPurchDtlsExemptList,"C")</t>
  </si>
  <si>
    <t>validateLength(Sch7.InputTaxPurchDtlsExemptList,10,"D")</t>
  </si>
  <si>
    <t>validateAlphaNumericWithSpace(Sch7.InputTaxPurchDtlsExemptList,"E")</t>
  </si>
  <si>
    <t>validateLength(Sch7.InputTaxPurchDtlsExemptList,50,"C")</t>
  </si>
  <si>
    <t>validateDate(Sch7.InputTaxPurchDtlsExemptList,"D")</t>
  </si>
  <si>
    <t>I_Exempted_Purchases_Dtls</t>
  </si>
  <si>
    <t>Section I :  Purchases for the Period (Exempt)</t>
  </si>
  <si>
    <t>isMandatory(Sch8.InputTaxPurchDtlsExemptList,"Y","A")</t>
  </si>
  <si>
    <t>isMandatory(Sch8.InputTaxPurchDtlsExemptList,"Y","B")</t>
  </si>
  <si>
    <t>isMandatory(Sch8.InputTaxPurchDtlsExemptList,"Y","C")</t>
  </si>
  <si>
    <t>isMandatory(Sch8.InputTaxPurchDtlsExemptList,"Y","D")</t>
  </si>
  <si>
    <t>isMandatory(Sch8.InputTaxPurchDtlsExemptList,"Y","E")</t>
  </si>
  <si>
    <t>isMandatory(Sch8.InputTaxPurchDtlsExemptList,"Y","F")</t>
  </si>
  <si>
    <t>isMandatory(Sch8.InputTaxPurchDtlsExemptList,"Y","G")</t>
  </si>
  <si>
    <t>isMandatory(Sch8.InputTaxPurchDtlsExemptList,"Y","H")</t>
  </si>
  <si>
    <t>validateLength(Sch8.InputTaxPurchDtlsExemptList,11,"B")</t>
  </si>
  <si>
    <t>validateAlphaNumericWithSpace(Sch8.InputTaxPurchDtlsExemptList,"C")</t>
  </si>
  <si>
    <t>validateLength(Sch8.InputTaxPurchDtlsExemptList,10,"D")</t>
  </si>
  <si>
    <t>validateAlphaNumericWithSpace(Sch8.InputTaxPurchDtlsExemptList,"E")</t>
  </si>
  <si>
    <t>validateAlphaNumericWithSpace(Sch8.InputTaxPurchDtlsExemptList,"F")</t>
  </si>
  <si>
    <t>validateAlphaNumeric(Sch8.InputTaxPurchDtlsExemptList,"G")</t>
  </si>
  <si>
    <t>validateCurrencyFormat(Sch8.InputTaxPurchDtlsExemptList,"H")</t>
  </si>
  <si>
    <t>validateLength(Sch8.InputTaxPurchDtlsExemptList,50,"C")</t>
  </si>
  <si>
    <t>validateDate(Sch8.InputTaxPurchDtlsExemptList,"D")</t>
  </si>
  <si>
    <t>validateLength(Sch8.InputTaxPurchDtlsExemptList,200,"F")</t>
  </si>
  <si>
    <t>validateLength(Sch8.InputTaxPurchDtlsExemptList,20,"G")</t>
  </si>
  <si>
    <t>validateLength(Sch8.InputTaxPurchDtlsExemptList,15,"H")</t>
  </si>
  <si>
    <t>J_VAT_Imported_Services_Dtls</t>
  </si>
  <si>
    <t>Transaction Date</t>
  </si>
  <si>
    <t>Payment Registration Number</t>
  </si>
  <si>
    <t xml:space="preserve">Amount of VAT Claimable </t>
  </si>
  <si>
    <t>Section J : VAT Claimable on Services Imported into Kenya</t>
  </si>
  <si>
    <t>isMandatory(Sch10.ClaimableServiceImportedList,"Y","A")</t>
  </si>
  <si>
    <t>isMandatory(Sch10.ClaimableServiceImportedList,"Y","B")</t>
  </si>
  <si>
    <t>isMandatory(Sch10.ClaimableServiceImportedList,"Y","C")</t>
  </si>
  <si>
    <t>isMandatory(Sch10.ClaimableServiceImportedList,"N","D")</t>
  </si>
  <si>
    <t>isMandatory(Sch10.ClaimableServiceImportedList,"Y","E")</t>
  </si>
  <si>
    <t>isMandatory(Sch10.ClaimableServiceImportedList,"Y","F")</t>
  </si>
  <si>
    <t>isMandatory(Sch10.ClaimableServiceImportedList,"Y","G")</t>
  </si>
  <si>
    <t>validateAlphaNumericWithSpace(Sch10.ClaimableServiceImportedList,"A")</t>
  </si>
  <si>
    <t>validateAlphaNumericWithSpace(Sch10.ClaimableServiceImportedList,"B")</t>
  </si>
  <si>
    <t>validateLength(Sch10.ClaimableServiceImportedList,10,"C")</t>
  </si>
  <si>
    <t>validateLength(Sch10.ClaimableServiceImportedList,10,"D")</t>
  </si>
  <si>
    <t>validateAlphaNumericWithSpace(Sch10.ClaimableServiceImportedList,"E")</t>
  </si>
  <si>
    <t>validatePRNNumeric(Sch10.ClaimableServiceImportedList,"F")</t>
  </si>
  <si>
    <t>validateCurrencyFormat(Sch10.ClaimableServiceImportedList,"G")</t>
  </si>
  <si>
    <t>validateLength(Sch10.ClaimableServiceImportedList,50,"A")</t>
  </si>
  <si>
    <t>validateLength(Sch10.ClaimableServiceImportedList,200,"B")</t>
  </si>
  <si>
    <t>validateDate(Sch10.ClaimableServiceImportedList,"C")</t>
  </si>
  <si>
    <t>validateDate(Sch10.ClaimableServiceImportedList,"D")</t>
  </si>
  <si>
    <t>validateLength(Sch10.ClaimableServiceImportedList,16,"G")</t>
  </si>
  <si>
    <t>validatePRNAllZero(Sch10.ClaimableServiceImportedList,"F")</t>
  </si>
  <si>
    <t>All the digits in the Payment Registration Number cannot be '0'. Please enter Payment Registration Number in proper format.</t>
  </si>
  <si>
    <t>Date of Deposit</t>
  </si>
  <si>
    <t xml:space="preserve">Amount of VAT Paid </t>
  </si>
  <si>
    <t>isMandatory(Sch10.VATPaidDtlsList,"Y","A")</t>
  </si>
  <si>
    <t>isMandatory(Sch10.VATPaidDtlsList,"Y","B")</t>
  </si>
  <si>
    <t>isMandatory(Sch10.VATPaidDtlsList,"Y","C")</t>
  </si>
  <si>
    <t>validatePRNNumeric(Sch10.VATPaidDtlsList,"A")</t>
  </si>
  <si>
    <t>validateLength(Sch10.VATPaidDtlsList,10,"B")</t>
  </si>
  <si>
    <t>validateCurrencyFormat(Sch10.VATPaidDtlsList,"C")</t>
  </si>
  <si>
    <t>validateLength(Sch10.VATPaidDtlsList,15,"C")</t>
  </si>
  <si>
    <t>Date of Deposit should be before or within Return Reriod.</t>
  </si>
  <si>
    <t>validatePRNAllZero(Sch10.VATPaidDtlsList,"A")</t>
  </si>
  <si>
    <t>validateDate(Sch10.VATPaidDtlsList,"B")</t>
  </si>
  <si>
    <t>validatePrnAmount(Sch10.VATPaidDtlsList,"C")</t>
  </si>
  <si>
    <t>Please enter numeric value greater than zero.</t>
  </si>
  <si>
    <t>isMandatory(Sch10.VATSelfAssPaidDtlsList,"Y","A")</t>
  </si>
  <si>
    <t>isMandatory(Sch10.VATSelfAssPaidDtlsList,"Y","B")</t>
  </si>
  <si>
    <t>isMandatory(Sch10.VATSelfAssPaidDtlsList,"Y","C")</t>
  </si>
  <si>
    <t>validatePRNNumeric(Sch10.VATSelfAssPaidDtlsList,"A")</t>
  </si>
  <si>
    <t>validateLength(Sch10.VATSelfAssPaidDtlsList,10,"B")</t>
  </si>
  <si>
    <t>validateCurrencyFormat(Sch10.VATSelfAssPaidDtlsList,"C")</t>
  </si>
  <si>
    <t>validateLength(Sch10.VATSelfAssPaidDtlsList,15,"C")</t>
  </si>
  <si>
    <t>validatePRNAllZero(Sch10.VATSelfAssPaidDtlsList,"A")</t>
  </si>
  <si>
    <t>validateDate(Sch10.VATSelfAssPaidDtlsList,"B")</t>
  </si>
  <si>
    <t>validatePrnAmount(Sch10.VATSelfAssPaidDtlsList,"C")</t>
  </si>
  <si>
    <t>Criteria</t>
  </si>
  <si>
    <t>EndRow</t>
  </si>
  <si>
    <t>criteriaRange</t>
  </si>
  <si>
    <t>HightLight Cell Column</t>
  </si>
  <si>
    <t>crit1</t>
  </si>
  <si>
    <t>A1:B2</t>
  </si>
  <si>
    <t>A</t>
  </si>
  <si>
    <t>crit2</t>
  </si>
  <si>
    <t>A5:B6</t>
  </si>
  <si>
    <t>B</t>
  </si>
  <si>
    <t>crit3</t>
  </si>
  <si>
    <t>A9:B10</t>
  </si>
  <si>
    <t>H</t>
  </si>
  <si>
    <t>crit4</t>
  </si>
  <si>
    <t>A13:B14</t>
  </si>
  <si>
    <t>I</t>
  </si>
  <si>
    <t>crit5</t>
  </si>
  <si>
    <t>A17:B18</t>
  </si>
  <si>
    <t>crit6</t>
  </si>
  <si>
    <t>A21:B22</t>
  </si>
  <si>
    <t>crit7</t>
  </si>
  <si>
    <t>A25:B26</t>
  </si>
  <si>
    <t>crit8</t>
  </si>
  <si>
    <t>A29:H30</t>
  </si>
  <si>
    <t>Type</t>
  </si>
  <si>
    <t>&lt;&gt;Local</t>
  </si>
  <si>
    <t>&lt;&gt;Exemption</t>
  </si>
  <si>
    <t>Pin</t>
  </si>
  <si>
    <t>=</t>
  </si>
  <si>
    <t xml:space="preserve">As 'Type' contains 'Local', 'Pin of Purchaser' should contain value in following row(s) : </t>
  </si>
  <si>
    <t>Para</t>
  </si>
  <si>
    <t>&lt;&gt;</t>
  </si>
  <si>
    <t xml:space="preserve">As 'Type' contains 'Local',  'Relevant Paragraph' should be blank in following row(s) : </t>
  </si>
  <si>
    <t>Cert</t>
  </si>
  <si>
    <t xml:space="preserve">As 'Type' contains 'Local',  'Exemption Certificate Number' should be blank in following row(s) : </t>
  </si>
  <si>
    <t xml:space="preserve">As 'Type' contains 'Exemption', 'Pin of Purchaser' should be blank in following row(s) : </t>
  </si>
  <si>
    <t xml:space="preserve">As 'Type' contains 'Exemption' , 'Relevant Paragraph' should contain value in following row(s) : </t>
  </si>
  <si>
    <t xml:space="preserve">As 'Type' contains 'Exemption', 'Exemption Certificate Number' should contain value in following row(s) : </t>
  </si>
  <si>
    <t>&lt;&gt;Category A</t>
  </si>
  <si>
    <t>&lt;&gt;Category B</t>
  </si>
  <si>
    <t>&lt;&gt;Category C</t>
  </si>
  <si>
    <t>&lt;&gt;Category D</t>
  </si>
  <si>
    <t>&lt;&gt;Category E</t>
  </si>
  <si>
    <t>&lt;&gt;Category F</t>
  </si>
  <si>
    <t>&lt;&gt;Category G</t>
  </si>
  <si>
    <t xml:space="preserve">As 'Type' contains 'Exemption',  'Relevant Paragraph' should contain value 'Category A' or 'Category B' or 'Category C' or 'Category D' or 'Category E' or 'Category F' or 'Category G' in row(s) : </t>
  </si>
  <si>
    <t>Code</t>
  </si>
  <si>
    <t>Date</t>
  </si>
  <si>
    <t>Number</t>
  </si>
  <si>
    <t>Desc</t>
  </si>
  <si>
    <t>Amt</t>
  </si>
  <si>
    <t>FOR SECTION B and C</t>
  </si>
  <si>
    <t>A1:A2</t>
  </si>
  <si>
    <t>A5:A6</t>
  </si>
  <si>
    <t>G</t>
  </si>
  <si>
    <t>J</t>
  </si>
  <si>
    <t>VATAmt</t>
  </si>
  <si>
    <t>TaxValue</t>
  </si>
  <si>
    <t>RelIN</t>
  </si>
  <si>
    <t>&lt;0</t>
  </si>
  <si>
    <t xml:space="preserve">As 'Taxable value' is a negative, 'Relevant Invoice Number' should contain value in following row(s) : </t>
  </si>
  <si>
    <t>RelID</t>
  </si>
  <si>
    <t xml:space="preserve">As 'Taxable value' is a negative, 'Relevant Invoice Date' should contain value in following row(s) : </t>
  </si>
  <si>
    <t>PIN</t>
  </si>
  <si>
    <t>ETR</t>
  </si>
  <si>
    <t>ID</t>
  </si>
  <si>
    <t>IN</t>
  </si>
  <si>
    <t>DESC</t>
  </si>
  <si>
    <t>FOR SECTION F and G</t>
  </si>
  <si>
    <t>A21:A22</t>
  </si>
  <si>
    <t>K</t>
  </si>
  <si>
    <t>crit9</t>
  </si>
  <si>
    <t>A33:B34</t>
  </si>
  <si>
    <t>crit10</t>
  </si>
  <si>
    <t>A37:B38</t>
  </si>
  <si>
    <t>&lt;&gt;Import</t>
  </si>
  <si>
    <t xml:space="preserve">As 'Type' contains value 'Local', 'Pin of Supplier' should contain value in following row(s) : </t>
  </si>
  <si>
    <t>EntryNumber</t>
  </si>
  <si>
    <t xml:space="preserve">As 'Type' contains value 'Local', 'Custom entry Number' should be blank in following row(s) : </t>
  </si>
  <si>
    <t xml:space="preserve">As 'Type' contains value 'Import', 'Pin of Supplier' should be blank in following row(s) : </t>
  </si>
  <si>
    <t xml:space="preserve">As 'Type' contains value 'Import', 'Custom entry Number' should contain value in following row(s) : </t>
  </si>
  <si>
    <t>TaxAmount</t>
  </si>
  <si>
    <t>TaxableValue</t>
  </si>
  <si>
    <t>VAT Monthly Return</t>
  </si>
  <si>
    <r>
      <t xml:space="preserve">Personal Identification Number </t>
    </r>
    <r>
      <rPr>
        <sz val="12"/>
        <color indexed="10"/>
        <rFont val="Book Antiqua"/>
        <family val="1"/>
      </rPr>
      <t>*</t>
    </r>
  </si>
  <si>
    <r>
      <t xml:space="preserve">Type of Return </t>
    </r>
    <r>
      <rPr>
        <sz val="12"/>
        <color indexed="10"/>
        <rFont val="Book Antiqua"/>
        <family val="1"/>
      </rPr>
      <t>*</t>
    </r>
  </si>
  <si>
    <r>
      <t xml:space="preserve">Entity Type </t>
    </r>
    <r>
      <rPr>
        <sz val="12"/>
        <color indexed="10"/>
        <rFont val="Book Antiqua"/>
        <family val="1"/>
      </rPr>
      <t>*</t>
    </r>
  </si>
  <si>
    <r>
      <t xml:space="preserve">Return Period From </t>
    </r>
    <r>
      <rPr>
        <sz val="12"/>
        <color indexed="10"/>
        <rFont val="Book Antiqua"/>
        <family val="1"/>
      </rPr>
      <t>*</t>
    </r>
  </si>
  <si>
    <r>
      <t xml:space="preserve">Return Period To </t>
    </r>
    <r>
      <rPr>
        <sz val="12"/>
        <color indexed="10"/>
        <rFont val="Book Antiqua"/>
        <family val="1"/>
      </rPr>
      <t>*</t>
    </r>
  </si>
  <si>
    <t>Section B :  Sales and Output Tax on Sales for the Period (General Rate)</t>
  </si>
  <si>
    <t>Taxable Value (Ksh)</t>
  </si>
  <si>
    <t>RateType</t>
  </si>
  <si>
    <t>Total Sales and VAT to Customers registered for VAT (Ksh)</t>
  </si>
  <si>
    <t>Total Sales and VAT to Customers not registered for VAT (Ksh)</t>
  </si>
  <si>
    <t>Total</t>
  </si>
  <si>
    <t>Section C :  Sales and Output Tax on Sales for the Period (Other Rate)</t>
  </si>
  <si>
    <t>Section D : Sales for the Period (Zero Rated)</t>
  </si>
  <si>
    <t>Total Sales to Customers registered for VAT (Ksh)</t>
  </si>
  <si>
    <t>Total Sales to Customers not registered for VAT (Ksh)</t>
  </si>
  <si>
    <t>Total Exports to Customers registered for VAT (Ksh)</t>
  </si>
  <si>
    <t>Total Exports to Customers not registered for VAT (Ksh)</t>
  </si>
  <si>
    <t>Total (Section D1 Total + Section D2 Total)</t>
  </si>
  <si>
    <t>Summary</t>
  </si>
  <si>
    <t>Amount (Ksh)</t>
  </si>
  <si>
    <t>Section A</t>
  </si>
  <si>
    <t>Section B</t>
  </si>
  <si>
    <t>Sales Value (Ksh)</t>
  </si>
  <si>
    <t>Section F : Purchases and Input Tax for the Period  (General Rate)</t>
  </si>
  <si>
    <t>Total Purchases and VAT from Suppliers registered for VAT (Local) (Ksh)</t>
  </si>
  <si>
    <t>Total Purchases and VAT from Suppliers not registered for VAT (Import) (Ksh)</t>
  </si>
  <si>
    <t>Section G :  Purchases and Input Tax for the Period (Other Rate)</t>
  </si>
  <si>
    <t>Section H : Schedule for Purchases for the Period  (Zero Rated)</t>
  </si>
  <si>
    <t>Total Purchases from Suppliers registered for VAT (Local) (Ksh)</t>
  </si>
  <si>
    <t>Total Purchases from Suppliers not registered for VAT (Import) (Ksh)</t>
  </si>
  <si>
    <t>Schedule 8 :- VAT 32A Details of Withholding VAT</t>
  </si>
  <si>
    <t>Withholding Agent PIN</t>
  </si>
  <si>
    <t>Withholding Agent Name</t>
  </si>
  <si>
    <t>Serial Number of Certificate</t>
  </si>
  <si>
    <t>Payment Date</t>
  </si>
  <si>
    <t>Gross Amount( KSh )</t>
  </si>
  <si>
    <t>VAT 
Withheld( KSh )</t>
  </si>
  <si>
    <t>TOTAL</t>
  </si>
  <si>
    <t>Taxable Value(Ksh)</t>
  </si>
  <si>
    <t>Total Purchases from Suppliers on which VAT has not been incurred (Local) (Ksh)</t>
  </si>
  <si>
    <t>Amount of VAT Claimable (Ksh)</t>
  </si>
  <si>
    <t>Total VAT Claimable on Import of Services</t>
  </si>
  <si>
    <t>Amount of VAT Paid (Ksh)</t>
  </si>
  <si>
    <t xml:space="preserve">Total (Section K1 Total + Section K2 Total) </t>
  </si>
  <si>
    <t>Details of Sales</t>
  </si>
  <si>
    <t>Amount (Excl. VAT) (Ksh)</t>
  </si>
  <si>
    <t>Rate (%)</t>
  </si>
  <si>
    <t xml:space="preserve">Amount of Output VAT (Ksh) </t>
  </si>
  <si>
    <t>Taxable Sales (General Rate) (Total of "Taxable Value" from B_General_Rated_Sales_Dtls)</t>
  </si>
  <si>
    <t>Taxable Sales (Other Rate) (Total of "Taxable Value" from C_Other_Rated_Sales_Dtls)</t>
  </si>
  <si>
    <t>Sales (Zero Rated) (Total of "Taxable Value" from Section D1 and "Taxable Value" form Section D2)</t>
  </si>
  <si>
    <t>Sales (Exempt) (Total of "Sales Value" from E_Exempted_Sales_Dtls)</t>
  </si>
  <si>
    <t>NIL</t>
  </si>
  <si>
    <t>Total Sales (1+2+3+4)</t>
  </si>
  <si>
    <t>NA</t>
  </si>
  <si>
    <t>Total  Output VAT  (1+2+3)</t>
  </si>
  <si>
    <t>Details of Purchase</t>
  </si>
  <si>
    <t xml:space="preserve">Amount of Input VAT (Ksh) </t>
  </si>
  <si>
    <t>Taxable Purchases (General Rate) (Total of "Taxable Value" from F_General_Rated_Purchases_Dtls)</t>
  </si>
  <si>
    <t>Taxable Purchases (Other Rate) (Total of "Taxable Value" from G_Other_Rated_Purchases_Dtls)</t>
  </si>
  <si>
    <t>Purchases (Zero Rated) (Total of "Taxable Value" from H_Zero_Rated_Purchases_Dtls)</t>
  </si>
  <si>
    <t>Exempt Purchases (Total of "Taxable Value" from I_Exempted_Purchases_Dtls)</t>
  </si>
  <si>
    <t>Total Purchases (7+8+9+10)</t>
  </si>
  <si>
    <t>Total Input VAT (7+8+9)</t>
  </si>
  <si>
    <t>Description</t>
  </si>
  <si>
    <t>Output VAT (6)</t>
  </si>
  <si>
    <t>Input VAT (12)</t>
  </si>
  <si>
    <t>VAT Claimable on Services Imported into Kenya (Total of "Amount of VAT Claimable" from J_VAT_Imported_Services_Dtls)</t>
  </si>
  <si>
    <t>VAT Payable / Credit Due for the period (13-19)</t>
  </si>
  <si>
    <t>Total VAT Paid (Total of " Amount of VAT Paid" from K_VAT_Payment_Credits )</t>
  </si>
  <si>
    <t/>
  </si>
  <si>
    <t>FOR SECTION D1</t>
  </si>
  <si>
    <t>For Section D2</t>
  </si>
  <si>
    <t xml:space="preserve">Relevant Paragraph' should contain value 'Category A' or 'Category B' or 'Category C' or 'Category D' or 'Category E' or 'Category F' or 'Category G' in row(s) : </t>
  </si>
  <si>
    <t>CusomEntry</t>
  </si>
  <si>
    <t>Port</t>
  </si>
  <si>
    <t>Country</t>
  </si>
  <si>
    <t>Date of Voucher</t>
  </si>
  <si>
    <t>Amount</t>
  </si>
  <si>
    <t>A33:A34</t>
  </si>
  <si>
    <t xml:space="preserve">'Name of Purchaser' should be of length less than or equal to 50 characters in following row(s): </t>
  </si>
  <si>
    <t>A25:A26</t>
  </si>
  <si>
    <t xml:space="preserve">'Name of Purchaser should be of length less than or equal to 50 characters in following row(s): </t>
  </si>
  <si>
    <t>C</t>
  </si>
  <si>
    <t>crit11</t>
  </si>
  <si>
    <t>A41:A42</t>
  </si>
  <si>
    <t xml:space="preserve">'Name of Supplier should be of length less than or equal to 50 characters in following row(s): </t>
  </si>
  <si>
    <t xml:space="preserve">'ETR Serial Number' should be of length less than or equal to 20 chatacters in following row(s): </t>
  </si>
  <si>
    <t>E</t>
  </si>
  <si>
    <t>F</t>
  </si>
  <si>
    <t>A9:A10</t>
  </si>
  <si>
    <t>A13:A14</t>
  </si>
  <si>
    <t>A17:A18</t>
  </si>
  <si>
    <t>A29:A30</t>
  </si>
  <si>
    <t xml:space="preserve">'Exemption Certificate Number' should be of length less than or equal to 20 chatacters in following row(s): </t>
  </si>
  <si>
    <t xml:space="preserve">'Description of Goods/Services' should be of length less than or equal to 200 chatacters in following row(s): </t>
  </si>
  <si>
    <t>crit12</t>
  </si>
  <si>
    <t>crit13</t>
  </si>
  <si>
    <t>A37:A38</t>
  </si>
  <si>
    <t>A45:A46</t>
  </si>
  <si>
    <t>A49:A50</t>
  </si>
  <si>
    <t>D</t>
  </si>
  <si>
    <t xml:space="preserve">'Description of Goods/Services' should be of length less than or equal to 200 chatacters in row(s): </t>
  </si>
  <si>
    <t xml:space="preserve">'ETR Serial Number' should be of length less than or equal to 20 chatacters in row(s): </t>
  </si>
  <si>
    <t xml:space="preserve">'Name of Purchaser should be of length less than or equal to 50 characters in row(s): </t>
  </si>
  <si>
    <t xml:space="preserve">'Custom Entry Number' should be of length less than or equal to 20 chatacters in row(s): </t>
  </si>
  <si>
    <t>crit14</t>
  </si>
  <si>
    <t>crit15</t>
  </si>
  <si>
    <t>A53:A54</t>
  </si>
  <si>
    <t>A57:A58</t>
  </si>
  <si>
    <t>For section E</t>
  </si>
  <si>
    <t>SalesValue</t>
  </si>
  <si>
    <t>For section J</t>
  </si>
  <si>
    <t>PRN</t>
  </si>
  <si>
    <t>TD</t>
  </si>
  <si>
    <t>For section K1, K2</t>
  </si>
  <si>
    <t xml:space="preserve">'Payment Registration Number' should be of length less than or equal to 20 chatacters in following row(s): </t>
  </si>
  <si>
    <t>For section K3</t>
  </si>
  <si>
    <t xml:space="preserve">'Credit Adjustment Voucher Number' should be of length less than or equal to 20 chatacters in following row(s): </t>
  </si>
  <si>
    <t>CAV</t>
  </si>
  <si>
    <t xml:space="preserve">Type' should contain value 'Local' or 'Exemption' in following row(s) : </t>
  </si>
  <si>
    <t xml:space="preserve">Amount of VAT' should be blank in following row(s) : </t>
  </si>
  <si>
    <t xml:space="preserve">Taxable value' should contain value in following row(s) : </t>
  </si>
  <si>
    <t xml:space="preserve">Type' should contain value 'Local' or 'Import' in following row(s) : </t>
  </si>
  <si>
    <t xml:space="preserve">'Amount of VAT Claimable (KSH)' should be positive number in following row(s): </t>
  </si>
  <si>
    <t>Section K3 : Credit Adjustment Voucher / Inventory Approval Order</t>
  </si>
  <si>
    <t>Credit Adjustment Voucher /Inventory Approval Order Number</t>
  </si>
  <si>
    <t>Please enter numeric value.Only Special characters like (-) is allowed.</t>
  </si>
  <si>
    <t>Please Enter Data upto 10 Length only.</t>
  </si>
  <si>
    <t>Please Enter Numeric Data Only.</t>
  </si>
  <si>
    <t>Please Enter Data upto 20 Length only.</t>
  </si>
  <si>
    <t>Please Enter Data upto 15 Length only.</t>
  </si>
  <si>
    <t>Credit Adjustment Voucher / Inventory Approval Order Number</t>
  </si>
  <si>
    <t>isMandatory(Sch10.VATCrAdjVoucherDtlsList,"Y","A")</t>
  </si>
  <si>
    <t>isMandatory(Sch10.VATCrAdjVoucherDtlsList,"Y","B")</t>
  </si>
  <si>
    <t>isMandatory(Sch10.VATCrAdjVoucherDtlsList,"Y","C")</t>
  </si>
  <si>
    <t>Credit Adjustment Voucher / Inventory Approval Order Number is Mandatory field.</t>
  </si>
  <si>
    <t>Date of Voucher is Mandatory field.</t>
  </si>
  <si>
    <t>Amount is Mandatory field.</t>
  </si>
  <si>
    <t>validatePRNNumeric(Sch10.VATCrAdjVoucherDtlsList,"A")</t>
  </si>
  <si>
    <t>validatePRNAllZero(Sch10.VATCrAdjVoucherDtlsList,"A")</t>
  </si>
  <si>
    <t>validateLength(Sch10.VATCrAdjVoucherDtlsList,10,"B")</t>
  </si>
  <si>
    <t>validateCurrencyFormat(Sch10.VATCrAdjVoucherDtlsList,"C")</t>
  </si>
  <si>
    <t>validateBfrDate(Sch10.VATCrAdjVoucherDtlsList,"B")</t>
  </si>
  <si>
    <t>validateLength(Sch10.VATCrAdjVoucherDtlsList,15,"C")</t>
  </si>
  <si>
    <t>validatePrnAmount(Sch10.VATCrAdjVoucherDtlsList,"C")</t>
  </si>
  <si>
    <t>All the digits in the CAV/Inventory Approval Order Number cannot be '0'. Please enter Value in proper format.</t>
  </si>
  <si>
    <t>Date of Voucher cannot be a future date.</t>
  </si>
  <si>
    <t>Total Credit Adjustment / Inventory Approval Order (Total of "Credit Adjustment Voucher / Inventory Approval Order Amount" from K_VAT_Payment_Credits )</t>
  </si>
  <si>
    <t>PIN of Withholder</t>
  </si>
  <si>
    <t>Name of Withholder</t>
  </si>
  <si>
    <t>Withholding Certificate Number</t>
  </si>
  <si>
    <t>Date of Certificate</t>
  </si>
  <si>
    <t>Section M : Sales (Goods and Services)</t>
  </si>
  <si>
    <t>Section N : Purchases (Goods and Services)</t>
  </si>
  <si>
    <t>Certi</t>
  </si>
  <si>
    <t xml:space="preserve">'Name of Withholder' should be of length less than or equal to 50 characters in following row(s): </t>
  </si>
  <si>
    <t xml:space="preserve">'Withholding Certificate Number' should be of length less than or equal to 20 chatacters in following row(s): </t>
  </si>
  <si>
    <t>&lt;&gt;A??????????</t>
  </si>
  <si>
    <t>&lt;&gt;P??????????</t>
  </si>
  <si>
    <t>'Pin of Withholder' contains invalid value in following row(s):</t>
  </si>
  <si>
    <t>For section L</t>
  </si>
  <si>
    <t>'Date of Withholding Certificate' should contain value in following row(s):</t>
  </si>
  <si>
    <t>'Amount of VAT Withheld' should contain value in following row(s):</t>
  </si>
  <si>
    <t>Certi001</t>
  </si>
  <si>
    <t>11/10/2010</t>
  </si>
  <si>
    <t>Amount of VAT _x000D_
Withheld (Ksh)</t>
  </si>
  <si>
    <t xml:space="preserve">  in proper format(dd/mm/yyyy).</t>
  </si>
  <si>
    <t>Please enter numeric value Only.</t>
  </si>
  <si>
    <t>Please enter alphanumeric value. Only Special characters like (Space , - . / : \ ' &amp; ( ) { } ! ` | # ; $) are allowed.</t>
  </si>
  <si>
    <t xml:space="preserve">Please enter alphabetic value Only. </t>
  </si>
  <si>
    <t xml:space="preserve"> is mandatory field.</t>
  </si>
  <si>
    <t xml:space="preserve"> can not be same as  Taxpayer's PIN.</t>
  </si>
  <si>
    <t xml:space="preserve"> in proper format.</t>
  </si>
  <si>
    <t>Please enter Date between Return Period specified and in dd/mm/yyyy proper format.</t>
  </si>
  <si>
    <t>Please enter alphanumeric value. Special characters are not allowed.</t>
  </si>
  <si>
    <t>Section O : Calculation of VAT Due</t>
  </si>
  <si>
    <t>Total VAT Payable (20-21-22+23)</t>
  </si>
  <si>
    <t>Section L : Details of Withholding VAT Certificate</t>
  </si>
  <si>
    <t>Total Withholding VAT Credit (Total of "Amount of VAT Withheld" from L_WHT_Credits)</t>
  </si>
  <si>
    <t>M_Sales_N_Purchases</t>
  </si>
  <si>
    <t xml:space="preserve">O_VAT_Due </t>
  </si>
  <si>
    <t>Genrate uploadeble as XML?</t>
  </si>
  <si>
    <t>e3b0c44298fc1c149afbf4c8996fb92427ae41e4649b934ca495991b7852b855</t>
  </si>
  <si>
    <t>ReturnTypeSorted</t>
  </si>
  <si>
    <t>ReturnTypeCode</t>
  </si>
  <si>
    <t>EntityTypeSorted</t>
  </si>
  <si>
    <t>EntityTypeCode</t>
  </si>
  <si>
    <t>It has been detected that Macros are not enabled/Sheet is opened in Protected View in your System. Please follow below instructions to proceed.</t>
  </si>
  <si>
    <t>Help on Enable Macro:</t>
  </si>
  <si>
    <r>
      <t xml:space="preserve">Click the </t>
    </r>
    <r>
      <rPr>
        <b/>
        <sz val="12"/>
        <rFont val="Book Antiqua"/>
        <family val="1"/>
      </rPr>
      <t>File Menu (Office BackStage)</t>
    </r>
    <r>
      <rPr>
        <sz val="12"/>
        <rFont val="Book Antiqua"/>
        <family val="1"/>
      </rPr>
      <t>, and then select Options from the left sidebar.</t>
    </r>
  </si>
  <si>
    <r>
      <t xml:space="preserve">Click the </t>
    </r>
    <r>
      <rPr>
        <b/>
        <sz val="12"/>
        <color indexed="63"/>
        <rFont val="Book Antiqua"/>
        <family val="1"/>
      </rPr>
      <t>Microsoft Office Button</t>
    </r>
    <r>
      <rPr>
        <b/>
        <sz val="9.1"/>
        <color indexed="63"/>
        <rFont val="Arial"/>
        <family val="2"/>
      </rPr>
      <t xml:space="preserve">                </t>
    </r>
    <r>
      <rPr>
        <b/>
        <sz val="12"/>
        <color indexed="63"/>
        <rFont val="Book Antiqua"/>
        <family val="1"/>
      </rPr>
      <t xml:space="preserve"> , </t>
    </r>
    <r>
      <rPr>
        <sz val="12"/>
        <color indexed="63"/>
        <rFont val="Book Antiqua"/>
        <family val="1"/>
      </rPr>
      <t>and then click</t>
    </r>
    <r>
      <rPr>
        <b/>
        <sz val="12"/>
        <color indexed="63"/>
        <rFont val="Book Antiqua"/>
        <family val="1"/>
      </rPr>
      <t xml:space="preserve"> Excel Options.</t>
    </r>
  </si>
  <si>
    <t>visibleSheetsArr (List of Sheets which should be visible when macros are enabled)</t>
  </si>
  <si>
    <t>GoodsAndServices</t>
  </si>
  <si>
    <t>GoodsAndServicesCode</t>
  </si>
  <si>
    <t>Goods</t>
  </si>
  <si>
    <t>GOODS</t>
  </si>
  <si>
    <t>Services</t>
  </si>
  <si>
    <t>SERVICES</t>
  </si>
  <si>
    <t>Type of Exports</t>
  </si>
  <si>
    <t>isMandatory(Sch3.ZeroRateExportList,"Y","L")</t>
  </si>
  <si>
    <t>validateAlphaNumericWithSpace(Sch3.ZeroRateExportList,"G")</t>
  </si>
  <si>
    <t>validateAlphaNumeric(Sch3.ZeroRateExportList,"H")</t>
  </si>
  <si>
    <t>validateAlphaNumericWithSpaceDot(Sch3.ZeroRateExportList,"J")</t>
  </si>
  <si>
    <t>validateCurrencyFormat(Sch3.ZeroRateExportList,"L")</t>
  </si>
  <si>
    <t>validateLength(Sch3.ZeroRateExportList,200,"G")</t>
  </si>
  <si>
    <t>validateLength(Sch3.ZeroRateExportList,20,"J")</t>
  </si>
  <si>
    <t>validateLength(Sch3.ZeroRateExportList,15,"L")</t>
  </si>
  <si>
    <t>Section G : Purchases and Input Tax (Other Rate)</t>
  </si>
  <si>
    <t>Type of Imports</t>
  </si>
  <si>
    <t>isMandatory(Sch7.InputTaxPurchDtlsExemptList,"Y","I")</t>
  </si>
  <si>
    <t>validateAlphaNumericWithSpace(Sch7.InputTaxPurchDtlsExemptList,"G")</t>
  </si>
  <si>
    <t>validateAlphaNumeric(Sch7.InputTaxPurchDtlsExemptList,"H")</t>
  </si>
  <si>
    <t>validateCurrencyFormat(Sch7.InputTaxPurchDtlsExemptList,"I")</t>
  </si>
  <si>
    <t>validateLength(Sch7.InputTaxPurchDtlsExemptList,200,"G")</t>
  </si>
  <si>
    <t>validateLength(Sch7.InputTaxPurchDtlsExemptList,20,"H")</t>
  </si>
  <si>
    <t>validateLength(Sch7.InputTaxPurchDtlsExemptList,15,"I")</t>
  </si>
  <si>
    <t>SECTION I</t>
  </si>
  <si>
    <t>SECTION H</t>
  </si>
  <si>
    <t xml:space="preserve">As 'Type' contains value 'Import' and 'Type of Import' contain 'Goods', 'Custom entry Number' should contain value in following row(s) : </t>
  </si>
  <si>
    <t>&lt;&gt;Goods</t>
  </si>
  <si>
    <t>&lt;&gt;Services</t>
  </si>
  <si>
    <t xml:space="preserve">Type' should contain value 'Goods' or 'Services' in following row(s) : </t>
  </si>
  <si>
    <t>A1:E2</t>
  </si>
  <si>
    <t>A29:B30</t>
  </si>
  <si>
    <t>A41:B42</t>
  </si>
  <si>
    <t>A45:B46</t>
  </si>
  <si>
    <t>Type of Export' should contain value 'Goods' or 'Services'</t>
  </si>
  <si>
    <t xml:space="preserve">As 'Type of Exports' contains value 'Services', 'Custom entry Number' should be blank in following row(s) : </t>
  </si>
  <si>
    <t xml:space="preserve">As 'Type of Exports' contains value 'Services', 'Destination Country' should be blank in following row(s) : </t>
  </si>
  <si>
    <t xml:space="preserve">As 'Type of Exports' contains value 'Services', 'Port of Exit' should be blank in following row(s) : </t>
  </si>
  <si>
    <t xml:space="preserve">As 'Type of Exports' contains value 'Goods', 'Custom entry Number' should contain values in following row(s) : </t>
  </si>
  <si>
    <t xml:space="preserve">As 'Type of Exports' contains value 'Goods', 'Destination Country' should contain values in following row(s) : </t>
  </si>
  <si>
    <t xml:space="preserve">As 'Type of Exports' contains value 'Goods', 'Port of Exit' should contain values in following row(s) : </t>
  </si>
  <si>
    <t xml:space="preserve">As 'Type' contains value 'Local' and 'Type of Import' should be blank in following row(s) : </t>
  </si>
  <si>
    <t xml:space="preserve">As 'Type' contains value 'Local' and 'Custom entry Number' should be blank in following row(s) : </t>
  </si>
  <si>
    <t xml:space="preserve">As 'Type' contains value 'Import', Type of Import' should contain value in following row(s) : </t>
  </si>
  <si>
    <t xml:space="preserve">As 'Type' contains value 'Import' and 'Type of Import' contain 'Services', 'Custom entry Number' should blank in following row(s) : </t>
  </si>
  <si>
    <t>A25:C26</t>
  </si>
  <si>
    <t>A29:C30</t>
  </si>
  <si>
    <t>A49:C50</t>
  </si>
  <si>
    <t>Less : Non - Deductible Input VAT (17 - (((1+2+3)/5)*17))</t>
  </si>
  <si>
    <t>Deductible Input VAT (14+15 - 16 - 18)</t>
  </si>
  <si>
    <t>O_VAT_Due</t>
  </si>
  <si>
    <t>isMandatory(TaxDue.VATWhtTO,"Y")</t>
  </si>
  <si>
    <t>validateCurrencyFormat(TaxDue.VATWhtTO)</t>
  </si>
  <si>
    <t>Total Debit Adjustment Voucher</t>
  </si>
  <si>
    <t>isMandatory(TaxDue.DbAdjVoucherDtlsTO,"Y")</t>
  </si>
  <si>
    <t>Net VAT Payable / Credit Carried Forward  (24-25-26+27)</t>
  </si>
  <si>
    <t>Amount of VAT (Ksh)
(Taxable Value * 8%)</t>
  </si>
  <si>
    <t xml:space="preserve">Amount of VAT (Ksh)
(Taxable Value * 8%) </t>
  </si>
  <si>
    <t>checkSingleQuote(Sch5.InputTaxPurchDtlsGRList,"E")</t>
  </si>
  <si>
    <t>checkSingleQuote(Sch1.GeneralRateSalesDtlsList,"E")</t>
  </si>
  <si>
    <t>Single Quote is not allowed at the beginning of the Invoice Number.</t>
  </si>
  <si>
    <t xml:space="preserve">'Invoice Number' should be of length less than or equal to 40 chatacters in following row(s): </t>
  </si>
  <si>
    <t xml:space="preserve">'Invoice Number' should be of length less than or equal to 40 chatacters in row(s): </t>
  </si>
  <si>
    <t xml:space="preserve">'Relevant Invoice Number' should be of length less than or equal to 40 chatacters in row(s): </t>
  </si>
  <si>
    <t>validateLength(Sch1.GeneralRateSalesDtlsList,40,"E")</t>
  </si>
  <si>
    <t>validateLength(Sch2.OtherRateSalesDtlsList,40,"E")</t>
  </si>
  <si>
    <t>validateLength(Sch3.ZeroRateSalesDtlsList,40,"F")</t>
  </si>
  <si>
    <t>validateLength(Sch3.ZeroRateExportList,40,"E")</t>
  </si>
  <si>
    <t>validateLength(Sch4.ExemptSalesDtlsList,40,"E")</t>
  </si>
  <si>
    <t>validateLength(Sch5.InputTaxPurchDtlsGRList,40,"E")</t>
  </si>
  <si>
    <t>validateLength(Sch6.InputTaxPurchDtlsORList,40,"E")</t>
  </si>
  <si>
    <t>validateLength(Sch7.InputTaxPurchDtlsExemptList,40,"E")</t>
  </si>
  <si>
    <t>validateLength(Sch8.InputTaxPurchDtlsExemptList,40,"E")</t>
  </si>
  <si>
    <t>validateLength(Sch10.ClaimableServiceImportedList,40,"E")</t>
  </si>
  <si>
    <t>validateLength(Sch6.InputTaxPurchDtlsORList,40,"J")</t>
  </si>
  <si>
    <t>validateLength(Sch5.InputTaxPurchDtlsGRList,40,"J")</t>
  </si>
  <si>
    <t>validateLength(Sch2.OtherRateSalesDtlsList,40,"I")</t>
  </si>
  <si>
    <t>validateLength(Sch1.GeneralRateSalesDtlsList,40,"I")</t>
  </si>
  <si>
    <t>isMandatory(TaxDue.CrAdjVoucherDtlsTO,"Y")</t>
  </si>
  <si>
    <t>Amount of VAT (Ksh)
(Taxable Value*VAT Rate%)</t>
  </si>
  <si>
    <t>EXCEL 1997-2003</t>
  </si>
  <si>
    <t>XLS</t>
  </si>
  <si>
    <t>16/14</t>
  </si>
  <si>
    <t>validateDateForRelInvoiceDate(Sch1.GeneralRateSalesDtlsList,"J")</t>
  </si>
  <si>
    <t>validateDateForRelInvoiceDate(Sch2.OtherRateSalesDtlsList,"J")</t>
  </si>
  <si>
    <t>validateDateForRelInvoiceDate(Sch6.InputTaxPurchDtlsORList,"K")</t>
  </si>
  <si>
    <t>validateDateForRelInvoiceDate(Sch5.InputTaxPurchDtlsGRList,"K")</t>
  </si>
  <si>
    <t>Relevant Invoice Date cannot be before 12 months from the Return Period and must be on or before  Return Period.</t>
  </si>
  <si>
    <t>Are you a non-resident with no fixed place of business in Kenya?</t>
  </si>
  <si>
    <t>6c35c1142402e5d0ce91c01bbdef8a9dc5a2f2346fc91ab0ed0e518dbbd46331</t>
  </si>
  <si>
    <t>Digital Supply</t>
  </si>
  <si>
    <t>DST</t>
  </si>
  <si>
    <t>TypesOfPurchasesJul2021</t>
  </si>
  <si>
    <t>TypesOfPurchasesCodeJul2021</t>
  </si>
  <si>
    <t>&lt;&gt;Digital Supply</t>
  </si>
  <si>
    <t>A1:C2</t>
  </si>
  <si>
    <t xml:space="preserve">Type' should contain value 'Local' or 'Import' or Digital Supply in following row(s) : </t>
  </si>
  <si>
    <t>Version 15.0.10</t>
  </si>
  <si>
    <t>ReadMe:Errors:Macros_Disabled:A_Basic_Info:B_General_Rated_Sales_Dtls:D_Zero_Rated_Sales_Dtls:E_Exempted_Sales_Dtls:F_General_Rated_Purchases_Dtls:H_Zero_Rated_Purchases_Dtls:I_Exempted_Purchases_Dtls:J_VAT_Imported_Services_Dtls:K_VAT_Payment_Credits:L_WHT_Credits:M_Sales_N_Purchases:O_VAT_Due</t>
  </si>
</sst>
</file>

<file path=xl/styles.xml><?xml version="1.0" encoding="utf-8"?>
<styleSheet xmlns="http://schemas.openxmlformats.org/spreadsheetml/2006/main">
  <fonts count="49">
    <font>
      <sz val="11"/>
      <color indexed="8"/>
      <name val="Calibri"/>
      <family val="2"/>
    </font>
    <font>
      <sz val="10"/>
      <name val="Arial"/>
      <family val="2"/>
    </font>
    <font>
      <sz val="11"/>
      <name val="Book Antiqua"/>
      <family val="1"/>
    </font>
    <font>
      <b/>
      <sz val="12"/>
      <color indexed="9"/>
      <name val="Book Antiqua"/>
      <family val="1"/>
    </font>
    <font>
      <sz val="12"/>
      <color indexed="9"/>
      <name val="Book Antiqua"/>
      <family val="1"/>
    </font>
    <font>
      <sz val="12"/>
      <name val="Book Antiqua"/>
      <family val="1"/>
    </font>
    <font>
      <b/>
      <u/>
      <sz val="12"/>
      <name val="Book Antiqua"/>
      <family val="1"/>
    </font>
    <font>
      <b/>
      <sz val="12"/>
      <color indexed="63"/>
      <name val="Book Antiqua"/>
      <family val="1"/>
    </font>
    <font>
      <sz val="12"/>
      <color indexed="63"/>
      <name val="Book Antiqua"/>
      <family val="1"/>
    </font>
    <font>
      <b/>
      <sz val="12"/>
      <name val="Book Antiqua"/>
      <family val="1"/>
    </font>
    <font>
      <b/>
      <sz val="9.1"/>
      <name val="Book Antiqua"/>
      <family val="1"/>
    </font>
    <font>
      <b/>
      <i/>
      <sz val="12"/>
      <name val="Book Antiqua"/>
      <family val="1"/>
    </font>
    <font>
      <sz val="12"/>
      <name val="Calibri"/>
      <family val="2"/>
    </font>
    <font>
      <u/>
      <sz val="11"/>
      <color indexed="12"/>
      <name val="Calibri"/>
      <family val="2"/>
    </font>
    <font>
      <b/>
      <sz val="11"/>
      <color indexed="8"/>
      <name val="Calibri"/>
      <family val="2"/>
    </font>
    <font>
      <b/>
      <sz val="11"/>
      <name val="Book Antiqua"/>
      <family val="1"/>
    </font>
    <font>
      <sz val="12"/>
      <color indexed="8"/>
      <name val="Book Antiqua"/>
      <family val="1"/>
    </font>
    <font>
      <b/>
      <sz val="12"/>
      <color indexed="8"/>
      <name val="Book Antiqua"/>
      <family val="1"/>
    </font>
    <font>
      <sz val="12"/>
      <color indexed="55"/>
      <name val="Book Antiqua"/>
      <family val="1"/>
    </font>
    <font>
      <b/>
      <sz val="14"/>
      <color indexed="9"/>
      <name val="Book Antiqua"/>
      <family val="1"/>
    </font>
    <font>
      <sz val="12"/>
      <color indexed="10"/>
      <name val="Book Antiqua"/>
      <family val="1"/>
    </font>
    <font>
      <sz val="12"/>
      <color indexed="22"/>
      <name val="Book Antiqua"/>
      <family val="1"/>
    </font>
    <font>
      <b/>
      <sz val="12"/>
      <color indexed="22"/>
      <name val="Book Antiqua"/>
      <family val="1"/>
    </font>
    <font>
      <sz val="11"/>
      <color indexed="8"/>
      <name val="Book Antiqua"/>
      <family val="1"/>
    </font>
    <font>
      <b/>
      <sz val="11"/>
      <color indexed="8"/>
      <name val="Book Antiqua"/>
      <family val="1"/>
    </font>
    <font>
      <sz val="11"/>
      <color indexed="22"/>
      <name val="Calibri"/>
      <family val="2"/>
    </font>
    <font>
      <sz val="14"/>
      <color indexed="8"/>
      <name val="Book Antiqua"/>
      <family val="1"/>
    </font>
    <font>
      <sz val="11"/>
      <color indexed="8"/>
      <name val="Calibri"/>
      <family val="2"/>
    </font>
    <font>
      <sz val="12"/>
      <color indexed="8"/>
      <name val="Calibri"/>
      <family val="2"/>
    </font>
    <font>
      <u/>
      <sz val="12"/>
      <color indexed="12"/>
      <name val="Calibri"/>
      <family val="2"/>
    </font>
    <font>
      <b/>
      <sz val="9.1"/>
      <color indexed="63"/>
      <name val="Arial"/>
      <family val="2"/>
    </font>
    <font>
      <sz val="11"/>
      <color rgb="FFD7D7D7"/>
      <name val="Calibri"/>
      <family val="2"/>
    </font>
    <font>
      <b/>
      <sz val="12"/>
      <color theme="1"/>
      <name val="Book Antiqua"/>
      <family val="1"/>
    </font>
    <font>
      <sz val="11"/>
      <color rgb="FFFF0000"/>
      <name val="Calibri"/>
      <family val="2"/>
    </font>
    <font>
      <sz val="12"/>
      <color rgb="FFD7D7D7"/>
      <name val="Book Antiqua"/>
      <family val="1"/>
    </font>
    <font>
      <b/>
      <sz val="12"/>
      <color theme="0"/>
      <name val="Book Antiqua"/>
      <family val="1"/>
    </font>
    <font>
      <sz val="12"/>
      <color theme="1"/>
      <name val="Book Antiqua"/>
      <family val="1"/>
    </font>
    <font>
      <sz val="12"/>
      <color theme="0" tint="-0.249977111117893"/>
      <name val="Book Antiqua"/>
      <family val="1"/>
    </font>
    <font>
      <sz val="11"/>
      <color rgb="FFD7D7D7"/>
      <name val="Book Antiqua"/>
      <family val="1"/>
    </font>
    <font>
      <sz val="12"/>
      <color rgb="FFD7D7D7"/>
      <name val="Calibri"/>
      <family val="2"/>
    </font>
    <font>
      <sz val="12"/>
      <color theme="0" tint="-0.249977111117893"/>
      <name val="Calibri"/>
      <family val="2"/>
    </font>
    <font>
      <sz val="12"/>
      <color rgb="FFFF0000"/>
      <name val="Calibri"/>
      <family val="2"/>
    </font>
    <font>
      <b/>
      <sz val="12"/>
      <color rgb="FFFF0000"/>
      <name val="Book Antiqua"/>
      <family val="1"/>
    </font>
    <font>
      <sz val="12"/>
      <color theme="0" tint="-0.14999847407452621"/>
      <name val="Calibri"/>
      <family val="2"/>
    </font>
    <font>
      <sz val="12"/>
      <color rgb="FFFF0000"/>
      <name val="Book Antiqua"/>
      <family val="1"/>
    </font>
    <font>
      <b/>
      <sz val="16"/>
      <color rgb="FFFF0000"/>
      <name val="Calibri"/>
      <family val="2"/>
    </font>
    <font>
      <b/>
      <sz val="14"/>
      <color theme="0"/>
      <name val="Book Antiqua"/>
      <family val="1"/>
    </font>
    <font>
      <b/>
      <sz val="11"/>
      <color rgb="FF000000"/>
      <name val="Calibri"/>
      <family val="2"/>
    </font>
    <font>
      <sz val="12"/>
      <color theme="0" tint="-0.14999847407452621"/>
      <name val="Book Antiqua"/>
      <family val="1"/>
    </font>
  </fonts>
  <fills count="27">
    <fill>
      <patternFill patternType="none"/>
    </fill>
    <fill>
      <patternFill patternType="gray125"/>
    </fill>
    <fill>
      <patternFill patternType="solid">
        <fgColor indexed="63"/>
        <bgColor indexed="59"/>
      </patternFill>
    </fill>
    <fill>
      <patternFill patternType="solid">
        <fgColor indexed="9"/>
        <bgColor indexed="26"/>
      </patternFill>
    </fill>
    <fill>
      <patternFill patternType="solid">
        <fgColor indexed="55"/>
        <bgColor indexed="23"/>
      </patternFill>
    </fill>
    <fill>
      <patternFill patternType="solid">
        <fgColor indexed="22"/>
        <bgColor indexed="31"/>
      </patternFill>
    </fill>
    <fill>
      <patternFill patternType="solid">
        <fgColor indexed="10"/>
        <bgColor indexed="60"/>
      </patternFill>
    </fill>
    <fill>
      <patternFill patternType="solid">
        <fgColor indexed="44"/>
        <bgColor indexed="31"/>
      </patternFill>
    </fill>
    <fill>
      <patternFill patternType="solid">
        <fgColor indexed="27"/>
        <bgColor indexed="41"/>
      </patternFill>
    </fill>
    <fill>
      <patternFill patternType="solid">
        <fgColor indexed="56"/>
        <bgColor indexed="62"/>
      </patternFill>
    </fill>
    <fill>
      <patternFill patternType="solid">
        <fgColor rgb="FFEEEEEE"/>
        <bgColor indexed="64"/>
      </patternFill>
    </fill>
    <fill>
      <patternFill patternType="solid">
        <fgColor rgb="FFFFFFFF"/>
        <bgColor indexed="64"/>
      </patternFill>
    </fill>
    <fill>
      <patternFill patternType="solid">
        <fgColor rgb="FF929292"/>
        <bgColor indexed="64"/>
      </patternFill>
    </fill>
    <fill>
      <patternFill patternType="solid">
        <fgColor rgb="FFD7D7D7"/>
        <bgColor indexed="64"/>
      </patternFill>
    </fill>
    <fill>
      <patternFill patternType="solid">
        <fgColor rgb="FFE4E4E4"/>
        <bgColor indexed="64"/>
      </patternFill>
    </fill>
    <fill>
      <patternFill patternType="solid">
        <fgColor theme="0"/>
        <bgColor indexed="41"/>
      </patternFill>
    </fill>
    <fill>
      <patternFill patternType="solid">
        <fgColor rgb="FF929292"/>
        <bgColor indexed="31"/>
      </patternFill>
    </fill>
    <fill>
      <patternFill patternType="solid">
        <fgColor rgb="FF252525"/>
        <bgColor indexed="64"/>
      </patternFill>
    </fill>
    <fill>
      <patternFill patternType="solid">
        <fgColor rgb="FF252525"/>
        <bgColor indexed="31"/>
      </patternFill>
    </fill>
    <fill>
      <patternFill patternType="solid">
        <fgColor theme="0"/>
        <bgColor indexed="31"/>
      </patternFill>
    </fill>
    <fill>
      <patternFill patternType="solid">
        <fgColor rgb="FF929292"/>
        <bgColor indexed="41"/>
      </patternFill>
    </fill>
    <fill>
      <patternFill patternType="solid">
        <fgColor rgb="FFD7D7D7"/>
        <bgColor indexed="23"/>
      </patternFill>
    </fill>
    <fill>
      <patternFill patternType="solid">
        <fgColor rgb="FFD7D7D7"/>
        <bgColor indexed="31"/>
      </patternFill>
    </fill>
    <fill>
      <patternFill patternType="solid">
        <fgColor rgb="FFE4E4E4"/>
        <bgColor indexed="31"/>
      </patternFill>
    </fill>
    <fill>
      <patternFill patternType="solid">
        <fgColor theme="0" tint="-0.249977111117893"/>
        <bgColor indexed="31"/>
      </patternFill>
    </fill>
    <fill>
      <patternFill patternType="solid">
        <fgColor rgb="FFFF3F3E"/>
        <bgColor indexed="64"/>
      </patternFill>
    </fill>
    <fill>
      <patternFill patternType="solid">
        <fgColor rgb="FFFF3F3E"/>
        <bgColor indexed="62"/>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style="thin">
        <color indexed="8"/>
      </left>
      <right style="thin">
        <color indexed="8"/>
      </right>
      <top style="thin">
        <color indexed="8"/>
      </top>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top style="thin">
        <color indexed="8"/>
      </top>
      <bottom/>
      <diagonal/>
    </border>
    <border>
      <left/>
      <right/>
      <top style="thin">
        <color indexed="8"/>
      </top>
      <bottom/>
      <diagonal/>
    </border>
    <border>
      <left/>
      <right/>
      <top/>
      <bottom style="thin">
        <color indexed="8"/>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style="thin">
        <color indexed="64"/>
      </bottom>
      <diagonal/>
    </border>
    <border>
      <left style="thin">
        <color indexed="8"/>
      </left>
      <right style="thin">
        <color indexed="8"/>
      </right>
      <top style="thin">
        <color indexed="8"/>
      </top>
      <bottom style="thin">
        <color indexed="64"/>
      </bottom>
      <diagonal/>
    </border>
    <border>
      <left/>
      <right style="thin">
        <color indexed="8"/>
      </right>
      <top style="thin">
        <color indexed="8"/>
      </top>
      <bottom style="thin">
        <color indexed="64"/>
      </bottom>
      <diagonal/>
    </border>
    <border>
      <left style="thin">
        <color indexed="8"/>
      </left>
      <right style="thin">
        <color indexed="8"/>
      </right>
      <top/>
      <bottom/>
      <diagonal/>
    </border>
    <border>
      <left style="thin">
        <color indexed="8"/>
      </left>
      <right/>
      <top/>
      <bottom style="thin">
        <color indexed="8"/>
      </bottom>
      <diagonal/>
    </border>
    <border>
      <left style="thin">
        <color indexed="9"/>
      </left>
      <right style="thin">
        <color indexed="9"/>
      </right>
      <top style="thin">
        <color indexed="9"/>
      </top>
      <bottom style="thin">
        <color indexed="9"/>
      </bottom>
      <diagonal/>
    </border>
    <border>
      <left style="thin">
        <color indexed="9"/>
      </left>
      <right style="thin">
        <color indexed="9"/>
      </right>
      <top/>
      <bottom style="thin">
        <color indexed="9"/>
      </bottom>
      <diagonal/>
    </border>
    <border>
      <left style="medium">
        <color indexed="8"/>
      </left>
      <right style="thin">
        <color indexed="8"/>
      </right>
      <top style="thin">
        <color indexed="8"/>
      </top>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diagonal/>
    </border>
    <border>
      <left style="thin">
        <color theme="0"/>
      </left>
      <right style="thin">
        <color theme="0"/>
      </right>
      <top style="thin">
        <color theme="1"/>
      </top>
      <bottom style="thin">
        <color theme="0"/>
      </bottom>
      <diagonal/>
    </border>
    <border>
      <left style="thin">
        <color indexed="9"/>
      </left>
      <right/>
      <top/>
      <bottom style="thin">
        <color theme="0"/>
      </bottom>
      <diagonal/>
    </border>
    <border>
      <left/>
      <right/>
      <top/>
      <bottom style="thin">
        <color theme="0"/>
      </bottom>
      <diagonal/>
    </border>
    <border>
      <left style="thin">
        <color indexed="9"/>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theme="0"/>
      </top>
      <bottom style="thin">
        <color indexed="64"/>
      </bottom>
      <diagonal/>
    </border>
    <border>
      <left style="thin">
        <color indexed="64"/>
      </left>
      <right style="thin">
        <color theme="0"/>
      </right>
      <top style="thin">
        <color theme="0"/>
      </top>
      <bottom style="thin">
        <color indexed="64"/>
      </bottom>
      <diagonal/>
    </border>
  </borders>
  <cellStyleXfs count="43">
    <xf numFmtId="0" fontId="0" fillId="0" borderId="0"/>
    <xf numFmtId="0" fontId="29" fillId="10" borderId="1">
      <alignment horizontal="left" wrapText="1"/>
    </xf>
    <xf numFmtId="0" fontId="13" fillId="0" borderId="0" applyNumberFormat="0" applyFill="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cellStyleXfs>
  <cellXfs count="353">
    <xf numFmtId="0" fontId="0" fillId="0" borderId="0" xfId="0"/>
    <xf numFmtId="0" fontId="2" fillId="0" borderId="0" xfId="0" applyFont="1"/>
    <xf numFmtId="0" fontId="3" fillId="2" borderId="2" xfId="0" applyFont="1" applyFill="1" applyBorder="1"/>
    <xf numFmtId="0" fontId="4" fillId="2" borderId="3" xfId="0" applyFont="1" applyFill="1" applyBorder="1"/>
    <xf numFmtId="0" fontId="4" fillId="2" borderId="4" xfId="0" applyFont="1" applyFill="1" applyBorder="1"/>
    <xf numFmtId="0" fontId="5" fillId="3" borderId="5" xfId="0" applyFont="1" applyFill="1" applyBorder="1"/>
    <xf numFmtId="0" fontId="5" fillId="3" borderId="0" xfId="0" applyFont="1" applyFill="1"/>
    <xf numFmtId="0" fontId="5" fillId="3" borderId="6" xfId="0" applyFont="1" applyFill="1" applyBorder="1"/>
    <xf numFmtId="0" fontId="6" fillId="3" borderId="5" xfId="0" applyFont="1" applyFill="1" applyBorder="1"/>
    <xf numFmtId="0" fontId="5" fillId="3" borderId="5" xfId="20" applyFont="1" applyFill="1" applyBorder="1"/>
    <xf numFmtId="0" fontId="5" fillId="3" borderId="0" xfId="20" applyFont="1" applyFill="1"/>
    <xf numFmtId="0" fontId="5" fillId="3" borderId="6" xfId="20" applyFont="1" applyFill="1" applyBorder="1"/>
    <xf numFmtId="0" fontId="5" fillId="3" borderId="7" xfId="20" applyFont="1" applyFill="1" applyBorder="1"/>
    <xf numFmtId="0" fontId="5" fillId="3" borderId="7" xfId="20" applyFont="1" applyFill="1" applyBorder="1" applyAlignment="1">
      <alignment wrapText="1"/>
    </xf>
    <xf numFmtId="0" fontId="5" fillId="3" borderId="6" xfId="20" applyFont="1" applyFill="1" applyBorder="1" applyAlignment="1">
      <alignment wrapText="1"/>
    </xf>
    <xf numFmtId="0" fontId="5" fillId="3" borderId="7" xfId="0" applyFont="1" applyFill="1" applyBorder="1"/>
    <xf numFmtId="0" fontId="5" fillId="3" borderId="7" xfId="0" applyFont="1" applyFill="1" applyBorder="1" applyAlignment="1">
      <alignment wrapText="1"/>
    </xf>
    <xf numFmtId="0" fontId="5" fillId="3" borderId="6" xfId="0" applyFont="1" applyFill="1" applyBorder="1" applyAlignment="1">
      <alignment wrapText="1"/>
    </xf>
    <xf numFmtId="0" fontId="5" fillId="4" borderId="7" xfId="0" applyFont="1" applyFill="1" applyBorder="1"/>
    <xf numFmtId="0" fontId="5" fillId="5" borderId="7" xfId="0" applyFont="1" applyFill="1" applyBorder="1"/>
    <xf numFmtId="0" fontId="9" fillId="3" borderId="0" xfId="15" applyFont="1" applyFill="1" applyAlignment="1">
      <alignment horizontal="left" wrapText="1"/>
    </xf>
    <xf numFmtId="0" fontId="5" fillId="3" borderId="0" xfId="15" applyFont="1" applyFill="1" applyAlignment="1">
      <alignment horizontal="left"/>
    </xf>
    <xf numFmtId="0" fontId="9" fillId="3" borderId="0" xfId="15" applyFont="1" applyFill="1" applyAlignment="1">
      <alignment horizontal="left"/>
    </xf>
    <xf numFmtId="0" fontId="5" fillId="3" borderId="7" xfId="15" applyFont="1" applyFill="1" applyBorder="1" applyAlignment="1">
      <alignment horizontal="right"/>
    </xf>
    <xf numFmtId="0" fontId="5" fillId="3" borderId="8" xfId="15" applyFont="1" applyFill="1" applyBorder="1" applyAlignment="1">
      <alignment horizontal="left"/>
    </xf>
    <xf numFmtId="0" fontId="5" fillId="3" borderId="8" xfId="15" applyFont="1" applyFill="1" applyBorder="1" applyAlignment="1">
      <alignment horizontal="left" wrapText="1"/>
    </xf>
    <xf numFmtId="49" fontId="12" fillId="3" borderId="7" xfId="0" applyNumberFormat="1" applyFont="1" applyFill="1" applyBorder="1" applyAlignment="1">
      <alignment horizontal="center" wrapText="1"/>
    </xf>
    <xf numFmtId="49" fontId="12" fillId="3" borderId="7" xfId="0" applyNumberFormat="1" applyFont="1" applyFill="1" applyBorder="1" applyAlignment="1">
      <alignment wrapText="1"/>
    </xf>
    <xf numFmtId="0" fontId="12" fillId="3" borderId="7" xfId="0" applyFont="1" applyFill="1" applyBorder="1" applyAlignment="1">
      <alignment wrapText="1"/>
    </xf>
    <xf numFmtId="0" fontId="12" fillId="3" borderId="7" xfId="0" applyFont="1" applyFill="1" applyBorder="1" applyAlignment="1">
      <alignment horizontal="left" wrapText="1"/>
    </xf>
    <xf numFmtId="0" fontId="12" fillId="0" borderId="0" xfId="0" applyFont="1"/>
    <xf numFmtId="0" fontId="3" fillId="2" borderId="0" xfId="0" applyFont="1" applyFill="1" applyAlignment="1">
      <alignment horizontal="center" vertical="center" wrapText="1"/>
    </xf>
    <xf numFmtId="49" fontId="13" fillId="3" borderId="7" xfId="2" applyNumberFormat="1" applyFill="1" applyBorder="1" applyAlignment="1" applyProtection="1">
      <alignment wrapText="1"/>
    </xf>
    <xf numFmtId="0" fontId="5" fillId="0" borderId="0" xfId="0" applyFont="1"/>
    <xf numFmtId="0" fontId="2" fillId="0" borderId="0" xfId="0" applyFont="1" applyAlignment="1">
      <alignment wrapText="1"/>
    </xf>
    <xf numFmtId="0" fontId="14" fillId="0" borderId="0" xfId="13" applyFont="1" applyAlignment="1">
      <alignment wrapText="1"/>
    </xf>
    <xf numFmtId="0" fontId="14" fillId="0" borderId="0" xfId="13" applyFont="1"/>
    <xf numFmtId="0" fontId="14" fillId="0" borderId="0" xfId="0" applyFont="1"/>
    <xf numFmtId="0" fontId="2" fillId="0" borderId="0" xfId="0" applyFont="1" applyAlignment="1">
      <alignment horizontal="left" wrapText="1"/>
    </xf>
    <xf numFmtId="0" fontId="16" fillId="0" borderId="0" xfId="0" applyFont="1" applyAlignment="1">
      <alignment wrapText="1"/>
    </xf>
    <xf numFmtId="0" fontId="16" fillId="0" borderId="0" xfId="40" applyFont="1" applyAlignment="1">
      <alignment wrapText="1"/>
    </xf>
    <xf numFmtId="0" fontId="5" fillId="0" borderId="0" xfId="0" applyFont="1" applyAlignment="1">
      <alignment horizontal="left" wrapText="1"/>
    </xf>
    <xf numFmtId="0" fontId="9" fillId="0" borderId="0" xfId="0" applyFont="1" applyAlignment="1">
      <alignment horizontal="left" wrapText="1"/>
    </xf>
    <xf numFmtId="0" fontId="17" fillId="0" borderId="0" xfId="0" applyFont="1" applyAlignment="1">
      <alignment horizontal="left" wrapText="1"/>
    </xf>
    <xf numFmtId="0" fontId="18" fillId="4" borderId="0" xfId="0" applyFont="1" applyFill="1"/>
    <xf numFmtId="0" fontId="5" fillId="6" borderId="0" xfId="0" applyFont="1" applyFill="1" applyAlignment="1">
      <alignment vertical="center"/>
    </xf>
    <xf numFmtId="0" fontId="5" fillId="0" borderId="0" xfId="0" applyFont="1" applyAlignment="1">
      <alignment vertical="center"/>
    </xf>
    <xf numFmtId="0" fontId="5" fillId="3" borderId="7" xfId="0" applyFont="1" applyFill="1" applyBorder="1" applyAlignment="1">
      <alignment horizontal="left" wrapText="1"/>
    </xf>
    <xf numFmtId="0" fontId="16" fillId="3" borderId="7" xfId="0" applyFont="1" applyFill="1" applyBorder="1" applyAlignment="1" applyProtection="1">
      <alignment wrapText="1"/>
      <protection locked="0"/>
    </xf>
    <xf numFmtId="0" fontId="5" fillId="3" borderId="7" xfId="0" applyFont="1" applyFill="1" applyBorder="1" applyAlignment="1" applyProtection="1">
      <alignment wrapText="1"/>
      <protection locked="0"/>
    </xf>
    <xf numFmtId="49" fontId="5" fillId="3" borderId="7" xfId="0" applyNumberFormat="1" applyFont="1" applyFill="1" applyBorder="1" applyAlignment="1" applyProtection="1">
      <alignment horizontal="right" wrapText="1"/>
      <protection locked="0"/>
    </xf>
    <xf numFmtId="0" fontId="21" fillId="5" borderId="0" xfId="0" applyFont="1" applyFill="1"/>
    <xf numFmtId="0" fontId="16" fillId="0" borderId="0" xfId="0" applyFont="1"/>
    <xf numFmtId="0" fontId="21" fillId="5" borderId="5" xfId="0" applyFont="1" applyFill="1" applyBorder="1"/>
    <xf numFmtId="0" fontId="17" fillId="3" borderId="7" xfId="0" applyFont="1" applyFill="1" applyBorder="1" applyAlignment="1">
      <alignment horizontal="center" vertical="top" wrapText="1"/>
    </xf>
    <xf numFmtId="0" fontId="21" fillId="5" borderId="0" xfId="0" applyFont="1" applyFill="1" applyAlignment="1">
      <alignment vertical="top"/>
    </xf>
    <xf numFmtId="0" fontId="16" fillId="3" borderId="9" xfId="0" applyFont="1" applyFill="1" applyBorder="1" applyAlignment="1" applyProtection="1">
      <alignment wrapText="1"/>
      <protection locked="0"/>
    </xf>
    <xf numFmtId="49" fontId="5" fillId="3" borderId="9" xfId="0" applyNumberFormat="1" applyFont="1" applyFill="1" applyBorder="1" applyAlignment="1" applyProtection="1">
      <alignment wrapText="1"/>
      <protection locked="0"/>
    </xf>
    <xf numFmtId="49" fontId="2" fillId="3" borderId="9" xfId="0" applyNumberFormat="1" applyFont="1" applyFill="1" applyBorder="1" applyAlignment="1" applyProtection="1">
      <alignment wrapText="1"/>
      <protection locked="0"/>
    </xf>
    <xf numFmtId="49" fontId="5" fillId="3" borderId="9" xfId="0" applyNumberFormat="1" applyFont="1" applyFill="1" applyBorder="1" applyAlignment="1" applyProtection="1">
      <alignment horizontal="right" wrapText="1"/>
      <protection locked="0"/>
    </xf>
    <xf numFmtId="4" fontId="16" fillId="3" borderId="7" xfId="40" applyNumberFormat="1" applyFont="1" applyFill="1" applyBorder="1" applyAlignment="1" applyProtection="1">
      <alignment wrapText="1"/>
      <protection locked="0"/>
    </xf>
    <xf numFmtId="4" fontId="17" fillId="4" borderId="2" xfId="0" applyNumberFormat="1" applyFont="1" applyFill="1" applyBorder="1" applyAlignment="1">
      <alignment horizontal="right" wrapText="1"/>
    </xf>
    <xf numFmtId="49" fontId="5" fillId="4" borderId="9" xfId="0" applyNumberFormat="1" applyFont="1" applyFill="1" applyBorder="1" applyAlignment="1">
      <alignment wrapText="1"/>
    </xf>
    <xf numFmtId="4" fontId="17" fillId="4" borderId="4" xfId="0" applyNumberFormat="1" applyFont="1" applyFill="1" applyBorder="1" applyAlignment="1">
      <alignment horizontal="right" wrapText="1"/>
    </xf>
    <xf numFmtId="4" fontId="17" fillId="4" borderId="7" xfId="0" applyNumberFormat="1" applyFont="1" applyFill="1" applyBorder="1" applyAlignment="1">
      <alignment horizontal="right" vertical="top" wrapText="1"/>
    </xf>
    <xf numFmtId="4" fontId="16" fillId="3" borderId="4" xfId="40" applyNumberFormat="1" applyFont="1" applyFill="1" applyBorder="1" applyAlignment="1" applyProtection="1">
      <alignment wrapText="1"/>
      <protection locked="0"/>
    </xf>
    <xf numFmtId="0" fontId="4" fillId="6" borderId="0" xfId="0" applyFont="1" applyFill="1"/>
    <xf numFmtId="0" fontId="17" fillId="3" borderId="2" xfId="0" applyFont="1" applyFill="1" applyBorder="1" applyAlignment="1">
      <alignment horizontal="center" vertical="top" wrapText="1"/>
    </xf>
    <xf numFmtId="0" fontId="22" fillId="5" borderId="0" xfId="0" applyFont="1" applyFill="1"/>
    <xf numFmtId="49" fontId="5" fillId="3" borderId="7" xfId="0" applyNumberFormat="1" applyFont="1" applyFill="1" applyBorder="1" applyAlignment="1" applyProtection="1">
      <alignment wrapText="1"/>
      <protection locked="0"/>
    </xf>
    <xf numFmtId="0" fontId="16" fillId="4" borderId="0" xfId="0" applyFont="1" applyFill="1"/>
    <xf numFmtId="4" fontId="17" fillId="4" borderId="10" xfId="0" applyNumberFormat="1" applyFont="1" applyFill="1" applyBorder="1" applyAlignment="1">
      <alignment horizontal="right" wrapText="1"/>
    </xf>
    <xf numFmtId="4" fontId="17" fillId="4" borderId="10" xfId="0" applyNumberFormat="1" applyFont="1" applyFill="1" applyBorder="1" applyAlignment="1">
      <alignment horizontal="right" vertical="top" wrapText="1"/>
    </xf>
    <xf numFmtId="4" fontId="17" fillId="4" borderId="4" xfId="0" applyNumberFormat="1" applyFont="1" applyFill="1" applyBorder="1" applyAlignment="1">
      <alignment horizontal="right" vertical="top" wrapText="1"/>
    </xf>
    <xf numFmtId="0" fontId="17" fillId="3" borderId="7" xfId="0" applyFont="1" applyFill="1" applyBorder="1" applyAlignment="1">
      <alignment horizontal="left" vertical="top" wrapText="1"/>
    </xf>
    <xf numFmtId="4" fontId="17" fillId="4" borderId="11" xfId="0" applyNumberFormat="1" applyFont="1" applyFill="1" applyBorder="1" applyAlignment="1">
      <alignment horizontal="right" vertical="top" wrapText="1"/>
    </xf>
    <xf numFmtId="0" fontId="16" fillId="0" borderId="0" xfId="0" applyFont="1" applyAlignment="1">
      <alignment horizontal="center" vertical="top" wrapText="1"/>
    </xf>
    <xf numFmtId="0" fontId="21" fillId="0" borderId="0" xfId="0" applyFont="1" applyAlignment="1">
      <alignment horizontal="center" vertical="top" wrapText="1"/>
    </xf>
    <xf numFmtId="0" fontId="21" fillId="5" borderId="5" xfId="0" applyFont="1" applyFill="1" applyBorder="1" applyAlignment="1">
      <alignment horizontal="center" vertical="top" wrapText="1"/>
    </xf>
    <xf numFmtId="0" fontId="21" fillId="5" borderId="0" xfId="0" applyFont="1" applyFill="1" applyAlignment="1">
      <alignment horizontal="center" vertical="top" wrapText="1"/>
    </xf>
    <xf numFmtId="0" fontId="21" fillId="5" borderId="0" xfId="0" applyFont="1" applyFill="1" applyAlignment="1">
      <alignment horizontal="center" vertical="top"/>
    </xf>
    <xf numFmtId="49" fontId="5" fillId="3" borderId="7" xfId="0" applyNumberFormat="1" applyFont="1" applyFill="1" applyBorder="1" applyAlignment="1" applyProtection="1">
      <alignment horizontal="left" wrapText="1"/>
      <protection locked="0"/>
    </xf>
    <xf numFmtId="49" fontId="5" fillId="3" borderId="9" xfId="0" applyNumberFormat="1" applyFont="1" applyFill="1" applyBorder="1" applyAlignment="1" applyProtection="1">
      <alignment horizontal="left" wrapText="1"/>
      <protection locked="0"/>
    </xf>
    <xf numFmtId="4" fontId="16" fillId="3" borderId="7" xfId="40" applyNumberFormat="1" applyFont="1" applyFill="1" applyBorder="1" applyAlignment="1" applyProtection="1">
      <alignment horizontal="right" wrapText="1"/>
      <protection locked="0"/>
    </xf>
    <xf numFmtId="0" fontId="16" fillId="0" borderId="0" xfId="0" applyFont="1" applyAlignment="1">
      <alignment vertical="top" wrapText="1"/>
    </xf>
    <xf numFmtId="0" fontId="9" fillId="4" borderId="7" xfId="0" applyFont="1" applyFill="1" applyBorder="1" applyAlignment="1">
      <alignment horizontal="center" wrapText="1"/>
    </xf>
    <xf numFmtId="0" fontId="16" fillId="5" borderId="0" xfId="0" applyFont="1" applyFill="1" applyAlignment="1">
      <alignment horizontal="center" vertical="top" wrapText="1"/>
    </xf>
    <xf numFmtId="0" fontId="21" fillId="5" borderId="0" xfId="0" applyFont="1" applyFill="1" applyAlignment="1">
      <alignment wrapText="1"/>
    </xf>
    <xf numFmtId="0" fontId="21" fillId="5" borderId="5" xfId="0" applyFont="1" applyFill="1" applyBorder="1" applyAlignment="1">
      <alignment wrapText="1"/>
    </xf>
    <xf numFmtId="0" fontId="22" fillId="4" borderId="7" xfId="0" applyFont="1" applyFill="1" applyBorder="1" applyAlignment="1">
      <alignment horizontal="center" wrapText="1"/>
    </xf>
    <xf numFmtId="0" fontId="16" fillId="5" borderId="0" xfId="0" applyFont="1" applyFill="1" applyAlignment="1">
      <alignment wrapText="1"/>
    </xf>
    <xf numFmtId="0" fontId="16" fillId="6" borderId="0" xfId="0" applyFont="1" applyFill="1"/>
    <xf numFmtId="0" fontId="20" fillId="5" borderId="0" xfId="0" applyFont="1" applyFill="1"/>
    <xf numFmtId="0" fontId="23" fillId="0" borderId="0" xfId="0" applyFont="1"/>
    <xf numFmtId="0" fontId="23" fillId="4" borderId="0" xfId="0" applyFont="1" applyFill="1"/>
    <xf numFmtId="0" fontId="23" fillId="4" borderId="5" xfId="0" applyFont="1" applyFill="1" applyBorder="1"/>
    <xf numFmtId="0" fontId="24" fillId="7" borderId="7" xfId="0" applyFont="1" applyFill="1" applyBorder="1" applyAlignment="1">
      <alignment horizontal="center" wrapText="1"/>
    </xf>
    <xf numFmtId="0" fontId="24" fillId="7" borderId="2" xfId="0" applyFont="1" applyFill="1" applyBorder="1" applyAlignment="1">
      <alignment horizontal="center" wrapText="1"/>
    </xf>
    <xf numFmtId="0" fontId="23" fillId="4" borderId="5" xfId="0" applyFont="1" applyFill="1" applyBorder="1" applyAlignment="1">
      <alignment wrapText="1"/>
    </xf>
    <xf numFmtId="0" fontId="23" fillId="0" borderId="0" xfId="0" applyFont="1" applyAlignment="1">
      <alignment wrapText="1"/>
    </xf>
    <xf numFmtId="0" fontId="23" fillId="8" borderId="7" xfId="0" applyFont="1" applyFill="1" applyBorder="1" applyAlignment="1" applyProtection="1">
      <alignment wrapText="1"/>
      <protection locked="0"/>
    </xf>
    <xf numFmtId="49" fontId="2" fillId="8" borderId="7" xfId="0" applyNumberFormat="1" applyFont="1" applyFill="1" applyBorder="1" applyAlignment="1" applyProtection="1">
      <alignment wrapText="1"/>
      <protection locked="0"/>
    </xf>
    <xf numFmtId="4" fontId="23" fillId="8" borderId="7" xfId="40" applyNumberFormat="1" applyFont="1" applyFill="1" applyBorder="1" applyAlignment="1" applyProtection="1">
      <alignment wrapText="1"/>
      <protection locked="0"/>
    </xf>
    <xf numFmtId="4" fontId="23" fillId="8" borderId="2" xfId="40" applyNumberFormat="1" applyFont="1" applyFill="1" applyBorder="1" applyAlignment="1" applyProtection="1">
      <alignment wrapText="1"/>
      <protection locked="0"/>
    </xf>
    <xf numFmtId="2" fontId="17" fillId="5" borderId="12" xfId="40" applyNumberFormat="1" applyFont="1" applyFill="1" applyBorder="1" applyAlignment="1">
      <alignment wrapText="1"/>
    </xf>
    <xf numFmtId="0" fontId="21" fillId="0" borderId="0" xfId="0" applyFont="1"/>
    <xf numFmtId="0" fontId="16" fillId="0" borderId="0" xfId="0" applyFont="1" applyAlignment="1">
      <alignment horizontal="center" vertical="center"/>
    </xf>
    <xf numFmtId="4" fontId="17" fillId="3" borderId="4" xfId="0" applyNumberFormat="1" applyFont="1" applyFill="1" applyBorder="1" applyAlignment="1" applyProtection="1">
      <alignment horizontal="right" wrapText="1"/>
      <protection locked="0"/>
    </xf>
    <xf numFmtId="0" fontId="16" fillId="5" borderId="0" xfId="0" applyFont="1" applyFill="1"/>
    <xf numFmtId="0" fontId="25" fillId="0" borderId="0" xfId="0" applyFont="1"/>
    <xf numFmtId="0" fontId="25" fillId="5" borderId="0" xfId="0" applyFont="1" applyFill="1"/>
    <xf numFmtId="4" fontId="16" fillId="3" borderId="7" xfId="0" applyNumberFormat="1" applyFont="1" applyFill="1" applyBorder="1" applyAlignment="1" applyProtection="1">
      <alignment horizontal="right" wrapText="1"/>
      <protection locked="0"/>
    </xf>
    <xf numFmtId="0" fontId="0" fillId="5" borderId="0" xfId="0" applyFill="1" applyAlignment="1">
      <alignment wrapText="1"/>
    </xf>
    <xf numFmtId="0" fontId="0" fillId="0" borderId="0" xfId="0" applyAlignment="1">
      <alignment wrapText="1"/>
    </xf>
    <xf numFmtId="0" fontId="26" fillId="0" borderId="0" xfId="0" applyFont="1"/>
    <xf numFmtId="0" fontId="16" fillId="0" borderId="5" xfId="0" applyFont="1" applyBorder="1"/>
    <xf numFmtId="0" fontId="16" fillId="5" borderId="5" xfId="0" applyFont="1" applyFill="1" applyBorder="1" applyAlignment="1">
      <alignment horizontal="center" vertical="center"/>
    </xf>
    <xf numFmtId="0" fontId="16" fillId="0" borderId="0" xfId="0" applyFont="1" applyAlignment="1">
      <alignment vertical="center"/>
    </xf>
    <xf numFmtId="0" fontId="3" fillId="2" borderId="7" xfId="0" applyFont="1" applyFill="1" applyBorder="1" applyAlignment="1">
      <alignment horizontal="center" vertical="center"/>
    </xf>
    <xf numFmtId="0" fontId="3" fillId="2" borderId="7" xfId="40" applyFont="1" applyFill="1" applyBorder="1" applyAlignment="1">
      <alignment horizontal="center" vertical="center" wrapText="1"/>
    </xf>
    <xf numFmtId="2" fontId="3" fillId="2" borderId="7" xfId="40" applyNumberFormat="1" applyFont="1" applyFill="1" applyBorder="1" applyAlignment="1">
      <alignment horizontal="center" vertical="center" wrapText="1"/>
    </xf>
    <xf numFmtId="2" fontId="3" fillId="2" borderId="2" xfId="40" applyNumberFormat="1" applyFont="1" applyFill="1" applyBorder="1" applyAlignment="1">
      <alignment horizontal="center" vertical="center" wrapText="1"/>
    </xf>
    <xf numFmtId="0" fontId="16" fillId="3" borderId="7" xfId="0" applyFont="1" applyFill="1" applyBorder="1" applyAlignment="1">
      <alignment horizontal="center" vertical="top" wrapText="1"/>
    </xf>
    <xf numFmtId="0" fontId="16" fillId="3" borderId="7" xfId="0" applyFont="1" applyFill="1" applyBorder="1" applyAlignment="1">
      <alignment wrapText="1"/>
    </xf>
    <xf numFmtId="4" fontId="16" fillId="4" borderId="7" xfId="40" applyNumberFormat="1" applyFont="1" applyFill="1" applyBorder="1" applyAlignment="1">
      <alignment wrapText="1"/>
    </xf>
    <xf numFmtId="4" fontId="16" fillId="4" borderId="2" xfId="40" applyNumberFormat="1" applyFont="1" applyFill="1" applyBorder="1" applyAlignment="1">
      <alignment wrapText="1"/>
    </xf>
    <xf numFmtId="2" fontId="16" fillId="4" borderId="7" xfId="40" applyNumberFormat="1" applyFont="1" applyFill="1" applyBorder="1" applyAlignment="1">
      <alignment horizontal="right" wrapText="1"/>
    </xf>
    <xf numFmtId="2" fontId="16" fillId="4" borderId="2" xfId="0" applyNumberFormat="1" applyFont="1" applyFill="1" applyBorder="1" applyAlignment="1">
      <alignment wrapText="1"/>
    </xf>
    <xf numFmtId="0" fontId="17" fillId="3" borderId="7" xfId="0" applyFont="1" applyFill="1" applyBorder="1" applyAlignment="1">
      <alignment wrapText="1"/>
    </xf>
    <xf numFmtId="4" fontId="17" fillId="4" borderId="7" xfId="40" applyNumberFormat="1" applyFont="1" applyFill="1" applyBorder="1" applyAlignment="1">
      <alignment wrapText="1"/>
    </xf>
    <xf numFmtId="2" fontId="16" fillId="4" borderId="7" xfId="0" applyNumberFormat="1" applyFont="1" applyFill="1" applyBorder="1" applyAlignment="1">
      <alignment horizontal="right" wrapText="1"/>
    </xf>
    <xf numFmtId="0" fontId="17" fillId="3" borderId="9" xfId="0" applyFont="1" applyFill="1" applyBorder="1" applyAlignment="1">
      <alignment horizontal="center" vertical="top" wrapText="1"/>
    </xf>
    <xf numFmtId="0" fontId="17" fillId="3" borderId="9" xfId="40" applyFont="1" applyFill="1" applyBorder="1" applyAlignment="1">
      <alignment wrapText="1"/>
    </xf>
    <xf numFmtId="4" fontId="17" fillId="4" borderId="9" xfId="0" applyNumberFormat="1" applyFont="1" applyFill="1" applyBorder="1" applyAlignment="1">
      <alignment wrapText="1"/>
    </xf>
    <xf numFmtId="2" fontId="16" fillId="4" borderId="9" xfId="0" applyNumberFormat="1" applyFont="1" applyFill="1" applyBorder="1" applyAlignment="1">
      <alignment wrapText="1"/>
    </xf>
    <xf numFmtId="4" fontId="17" fillId="4" borderId="12" xfId="40" applyNumberFormat="1" applyFont="1" applyFill="1" applyBorder="1" applyAlignment="1">
      <alignment wrapText="1"/>
    </xf>
    <xf numFmtId="0" fontId="16" fillId="5" borderId="13" xfId="0" applyFont="1" applyFill="1" applyBorder="1" applyAlignment="1">
      <alignment horizontal="center" vertical="center"/>
    </xf>
    <xf numFmtId="0" fontId="16" fillId="5" borderId="0" xfId="0" applyFont="1" applyFill="1" applyAlignment="1">
      <alignment horizontal="center" vertical="center"/>
    </xf>
    <xf numFmtId="0" fontId="16" fillId="5" borderId="14" xfId="0" applyFont="1" applyFill="1" applyBorder="1" applyAlignment="1">
      <alignment horizontal="center" vertical="center"/>
    </xf>
    <xf numFmtId="0" fontId="3" fillId="2" borderId="7" xfId="0" applyFont="1" applyFill="1" applyBorder="1" applyAlignment="1">
      <alignment vertical="center"/>
    </xf>
    <xf numFmtId="49" fontId="16" fillId="4" borderId="7" xfId="0" applyNumberFormat="1" applyFont="1" applyFill="1" applyBorder="1" applyAlignment="1">
      <alignment horizontal="right" wrapText="1"/>
    </xf>
    <xf numFmtId="4" fontId="17" fillId="4" borderId="2" xfId="40" applyNumberFormat="1" applyFont="1" applyFill="1" applyBorder="1" applyAlignment="1">
      <alignment wrapText="1"/>
    </xf>
    <xf numFmtId="0" fontId="17" fillId="3" borderId="9" xfId="0" applyFont="1" applyFill="1" applyBorder="1" applyAlignment="1">
      <alignment wrapText="1"/>
    </xf>
    <xf numFmtId="0" fontId="16" fillId="0" borderId="13" xfId="0" applyFont="1" applyBorder="1"/>
    <xf numFmtId="0" fontId="2" fillId="0" borderId="15" xfId="0" applyFont="1" applyBorder="1"/>
    <xf numFmtId="0" fontId="2" fillId="0" borderId="16" xfId="0" applyFont="1" applyBorder="1"/>
    <xf numFmtId="0" fontId="2" fillId="0" borderId="17" xfId="0" applyFont="1" applyBorder="1"/>
    <xf numFmtId="0" fontId="2" fillId="0" borderId="18" xfId="0" applyFont="1" applyBorder="1"/>
    <xf numFmtId="0" fontId="2" fillId="0" borderId="19" xfId="0" applyFont="1" applyBorder="1"/>
    <xf numFmtId="0" fontId="2" fillId="0" borderId="20" xfId="0" applyFont="1" applyBorder="1"/>
    <xf numFmtId="0" fontId="2" fillId="0" borderId="21" xfId="0" applyFont="1" applyBorder="1"/>
    <xf numFmtId="0" fontId="2" fillId="0" borderId="22" xfId="0" applyFont="1" applyBorder="1"/>
    <xf numFmtId="0" fontId="2" fillId="0" borderId="23" xfId="0" applyFont="1" applyBorder="1"/>
    <xf numFmtId="0" fontId="14" fillId="0" borderId="15" xfId="0" applyFont="1" applyBorder="1"/>
    <xf numFmtId="0" fontId="14" fillId="0" borderId="24" xfId="0" applyFont="1" applyBorder="1"/>
    <xf numFmtId="0" fontId="15" fillId="0" borderId="16" xfId="0" applyFont="1" applyBorder="1"/>
    <xf numFmtId="0" fontId="0" fillId="0" borderId="17" xfId="0" applyBorder="1"/>
    <xf numFmtId="0" fontId="2" fillId="0" borderId="25" xfId="0" applyFont="1" applyBorder="1"/>
    <xf numFmtId="0" fontId="0" fillId="0" borderId="25" xfId="0" applyBorder="1"/>
    <xf numFmtId="0" fontId="5" fillId="0" borderId="15" xfId="0" applyFont="1" applyBorder="1"/>
    <xf numFmtId="0" fontId="2" fillId="0" borderId="24" xfId="0" applyFont="1" applyBorder="1"/>
    <xf numFmtId="49" fontId="2" fillId="0" borderId="18" xfId="0" applyNumberFormat="1" applyFont="1" applyBorder="1"/>
    <xf numFmtId="49" fontId="2" fillId="0" borderId="20" xfId="0" applyNumberFormat="1" applyFont="1" applyBorder="1"/>
    <xf numFmtId="0" fontId="0" fillId="0" borderId="15" xfId="0" applyBorder="1" applyAlignment="1">
      <alignment horizontal="left" wrapText="1"/>
    </xf>
    <xf numFmtId="0" fontId="0" fillId="0" borderId="16" xfId="0" applyBorder="1" applyAlignment="1">
      <alignment horizontal="left" wrapText="1"/>
    </xf>
    <xf numFmtId="0" fontId="14" fillId="0" borderId="16" xfId="0" applyFont="1" applyBorder="1"/>
    <xf numFmtId="0" fontId="0" fillId="0" borderId="18" xfId="0" applyBorder="1"/>
    <xf numFmtId="0" fontId="0" fillId="0" borderId="19" xfId="0" applyBorder="1"/>
    <xf numFmtId="0" fontId="0" fillId="0" borderId="20" xfId="0" applyBorder="1"/>
    <xf numFmtId="0" fontId="2" fillId="0" borderId="21" xfId="0" applyFont="1" applyBorder="1" applyAlignment="1">
      <alignment wrapText="1"/>
    </xf>
    <xf numFmtId="0" fontId="15" fillId="0" borderId="21" xfId="0" applyFont="1" applyBorder="1"/>
    <xf numFmtId="0" fontId="2" fillId="0" borderId="15" xfId="0" applyFont="1" applyBorder="1" applyAlignment="1">
      <alignment wrapText="1"/>
    </xf>
    <xf numFmtId="0" fontId="2" fillId="0" borderId="24" xfId="0" applyFont="1" applyBorder="1" applyAlignment="1">
      <alignment horizontal="left" wrapText="1"/>
    </xf>
    <xf numFmtId="0" fontId="0" fillId="0" borderId="24" xfId="13" applyFont="1" applyBorder="1" applyAlignment="1">
      <alignment wrapText="1"/>
    </xf>
    <xf numFmtId="0" fontId="2" fillId="0" borderId="17" xfId="0" applyFont="1" applyBorder="1" applyAlignment="1">
      <alignment wrapText="1"/>
    </xf>
    <xf numFmtId="0" fontId="2" fillId="0" borderId="19" xfId="0" applyFont="1" applyBorder="1" applyAlignment="1">
      <alignment wrapText="1"/>
    </xf>
    <xf numFmtId="0" fontId="2" fillId="0" borderId="25" xfId="0" applyFont="1" applyBorder="1" applyAlignment="1">
      <alignment horizontal="left" wrapText="1"/>
    </xf>
    <xf numFmtId="0" fontId="16" fillId="0" borderId="24" xfId="0" applyFont="1" applyBorder="1" applyAlignment="1">
      <alignment wrapText="1"/>
    </xf>
    <xf numFmtId="0" fontId="16" fillId="0" borderId="25" xfId="0" applyFont="1" applyBorder="1" applyAlignment="1">
      <alignment wrapText="1"/>
    </xf>
    <xf numFmtId="0" fontId="2" fillId="0" borderId="24" xfId="0" applyFont="1" applyBorder="1" applyAlignment="1">
      <alignment wrapText="1"/>
    </xf>
    <xf numFmtId="0" fontId="2" fillId="0" borderId="25" xfId="0" applyFont="1" applyBorder="1" applyAlignment="1">
      <alignment wrapText="1"/>
    </xf>
    <xf numFmtId="0" fontId="2" fillId="0" borderId="26" xfId="0" applyFont="1" applyBorder="1" applyAlignment="1">
      <alignment wrapText="1"/>
    </xf>
    <xf numFmtId="0" fontId="16" fillId="0" borderId="27" xfId="0" applyFont="1" applyBorder="1" applyAlignment="1">
      <alignment wrapText="1"/>
    </xf>
    <xf numFmtId="0" fontId="2" fillId="0" borderId="27" xfId="0" applyFont="1" applyBorder="1"/>
    <xf numFmtId="0" fontId="2" fillId="0" borderId="27" xfId="0" applyFont="1" applyBorder="1" applyAlignment="1">
      <alignment wrapText="1"/>
    </xf>
    <xf numFmtId="0" fontId="2" fillId="0" borderId="28" xfId="0" applyFont="1" applyBorder="1"/>
    <xf numFmtId="0" fontId="9" fillId="0" borderId="15" xfId="0" applyFont="1" applyBorder="1" applyAlignment="1">
      <alignment horizontal="left" wrapText="1"/>
    </xf>
    <xf numFmtId="0" fontId="5" fillId="0" borderId="24" xfId="0" applyFont="1" applyBorder="1" applyAlignment="1">
      <alignment horizontal="left" wrapText="1"/>
    </xf>
    <xf numFmtId="0" fontId="5" fillId="0" borderId="16" xfId="0" applyFont="1" applyBorder="1" applyAlignment="1">
      <alignment horizontal="left" wrapText="1"/>
    </xf>
    <xf numFmtId="0" fontId="5" fillId="0" borderId="17" xfId="0" applyFont="1" applyBorder="1" applyAlignment="1">
      <alignment horizontal="left" wrapText="1"/>
    </xf>
    <xf numFmtId="0" fontId="5" fillId="0" borderId="18" xfId="0" applyFont="1" applyBorder="1" applyAlignment="1">
      <alignment horizontal="left" wrapText="1"/>
    </xf>
    <xf numFmtId="0" fontId="5" fillId="0" borderId="19" xfId="0" applyFont="1" applyBorder="1" applyAlignment="1">
      <alignment horizontal="left" wrapText="1"/>
    </xf>
    <xf numFmtId="0" fontId="5" fillId="0" borderId="25" xfId="0" applyFont="1" applyBorder="1" applyAlignment="1">
      <alignment horizontal="left" wrapText="1"/>
    </xf>
    <xf numFmtId="0" fontId="5" fillId="0" borderId="20" xfId="0" applyFont="1" applyBorder="1" applyAlignment="1">
      <alignment horizontal="left" wrapText="1"/>
    </xf>
    <xf numFmtId="0" fontId="9" fillId="0" borderId="17" xfId="0" applyFont="1" applyBorder="1" applyAlignment="1">
      <alignment horizontal="left" wrapText="1"/>
    </xf>
    <xf numFmtId="0" fontId="0" fillId="0" borderId="15" xfId="0" applyBorder="1"/>
    <xf numFmtId="0" fontId="0" fillId="0" borderId="24" xfId="0" applyBorder="1"/>
    <xf numFmtId="0" fontId="0" fillId="0" borderId="16" xfId="0" applyBorder="1"/>
    <xf numFmtId="0" fontId="0" fillId="0" borderId="17" xfId="0" quotePrefix="1" applyBorder="1"/>
    <xf numFmtId="49" fontId="5" fillId="12" borderId="9" xfId="0" applyNumberFormat="1" applyFont="1" applyFill="1" applyBorder="1" applyAlignment="1">
      <alignment wrapText="1"/>
    </xf>
    <xf numFmtId="49" fontId="5" fillId="12" borderId="9" xfId="0" applyNumberFormat="1" applyFont="1" applyFill="1" applyBorder="1" applyAlignment="1">
      <alignment horizontal="right" wrapText="1"/>
    </xf>
    <xf numFmtId="49" fontId="5" fillId="12" borderId="7" xfId="0" applyNumberFormat="1" applyFont="1" applyFill="1" applyBorder="1" applyAlignment="1">
      <alignment wrapText="1"/>
    </xf>
    <xf numFmtId="49" fontId="5" fillId="11" borderId="7" xfId="0" applyNumberFormat="1" applyFont="1" applyFill="1" applyBorder="1" applyAlignment="1" applyProtection="1">
      <alignment wrapText="1"/>
      <protection locked="0"/>
    </xf>
    <xf numFmtId="0" fontId="31" fillId="13" borderId="0" xfId="0" applyFont="1" applyFill="1"/>
    <xf numFmtId="0" fontId="32" fillId="14" borderId="1" xfId="0" applyFont="1" applyFill="1" applyBorder="1" applyAlignment="1">
      <alignment horizontal="center" vertical="top" wrapText="1"/>
    </xf>
    <xf numFmtId="0" fontId="32" fillId="0" borderId="0" xfId="0" applyFont="1" applyAlignment="1">
      <alignment horizontal="center" vertical="center"/>
    </xf>
    <xf numFmtId="49" fontId="5" fillId="15" borderId="1" xfId="0" applyNumberFormat="1" applyFont="1" applyFill="1" applyBorder="1" applyAlignment="1" applyProtection="1">
      <alignment horizontal="left" wrapText="1"/>
      <protection locked="0"/>
    </xf>
    <xf numFmtId="49" fontId="5" fillId="15" borderId="1" xfId="0" applyNumberFormat="1" applyFont="1" applyFill="1" applyBorder="1" applyAlignment="1" applyProtection="1">
      <alignment horizontal="right" wrapText="1"/>
      <protection locked="0"/>
    </xf>
    <xf numFmtId="4" fontId="16" fillId="15" borderId="1" xfId="40" applyNumberFormat="1" applyFont="1" applyFill="1" applyBorder="1" applyAlignment="1" applyProtection="1">
      <alignment horizontal="right" wrapText="1"/>
      <protection locked="0"/>
    </xf>
    <xf numFmtId="4" fontId="17" fillId="16" borderId="4" xfId="0" applyNumberFormat="1" applyFont="1" applyFill="1" applyBorder="1" applyAlignment="1">
      <alignment horizontal="right" wrapText="1"/>
    </xf>
    <xf numFmtId="0" fontId="0" fillId="13" borderId="0" xfId="0" applyFill="1" applyAlignment="1">
      <alignment wrapText="1"/>
    </xf>
    <xf numFmtId="0" fontId="31" fillId="13" borderId="17" xfId="0" applyFont="1" applyFill="1" applyBorder="1"/>
    <xf numFmtId="49" fontId="5" fillId="15" borderId="21" xfId="0" applyNumberFormat="1" applyFont="1" applyFill="1" applyBorder="1" applyAlignment="1" applyProtection="1">
      <alignment horizontal="left" wrapText="1"/>
      <protection locked="0"/>
    </xf>
    <xf numFmtId="49" fontId="5" fillId="15" borderId="21" xfId="0" applyNumberFormat="1" applyFont="1" applyFill="1" applyBorder="1" applyAlignment="1" applyProtection="1">
      <alignment horizontal="right" wrapText="1"/>
      <protection locked="0"/>
    </xf>
    <xf numFmtId="0" fontId="33" fillId="13" borderId="0" xfId="0" applyFont="1" applyFill="1"/>
    <xf numFmtId="0" fontId="31" fillId="0" borderId="0" xfId="0" applyFont="1"/>
    <xf numFmtId="0" fontId="35" fillId="17" borderId="1" xfId="0" applyFont="1" applyFill="1" applyBorder="1" applyAlignment="1">
      <alignment horizontal="center" vertical="center"/>
    </xf>
    <xf numFmtId="0" fontId="35" fillId="18" borderId="1" xfId="40" applyFont="1" applyFill="1" applyBorder="1" applyAlignment="1">
      <alignment horizontal="center" vertical="center" wrapText="1"/>
    </xf>
    <xf numFmtId="2" fontId="35" fillId="18" borderId="1" xfId="40" applyNumberFormat="1" applyFont="1" applyFill="1" applyBorder="1" applyAlignment="1">
      <alignment horizontal="center" vertical="center" wrapText="1"/>
    </xf>
    <xf numFmtId="0" fontId="34" fillId="13" borderId="0" xfId="0" applyFont="1" applyFill="1"/>
    <xf numFmtId="0" fontId="36" fillId="14" borderId="1" xfId="0" applyFont="1" applyFill="1" applyBorder="1" applyAlignment="1">
      <alignment horizontal="center"/>
    </xf>
    <xf numFmtId="0" fontId="36" fillId="14" borderId="1" xfId="0" applyFont="1" applyFill="1" applyBorder="1" applyAlignment="1">
      <alignment wrapText="1"/>
    </xf>
    <xf numFmtId="4" fontId="16" fillId="16" borderId="1" xfId="40" applyNumberFormat="1" applyFont="1" applyFill="1" applyBorder="1" applyAlignment="1">
      <alignment wrapText="1"/>
    </xf>
    <xf numFmtId="0" fontId="5" fillId="14" borderId="1" xfId="0" applyFont="1" applyFill="1" applyBorder="1" applyAlignment="1">
      <alignment wrapText="1"/>
    </xf>
    <xf numFmtId="0" fontId="32" fillId="14" borderId="1" xfId="0" applyFont="1" applyFill="1" applyBorder="1" applyAlignment="1">
      <alignment horizontal="center"/>
    </xf>
    <xf numFmtId="0" fontId="9" fillId="14" borderId="1" xfId="0" applyFont="1" applyFill="1" applyBorder="1" applyAlignment="1">
      <alignment wrapText="1"/>
    </xf>
    <xf numFmtId="4" fontId="17" fillId="16" borderId="1" xfId="40" applyNumberFormat="1" applyFont="1" applyFill="1" applyBorder="1" applyAlignment="1">
      <alignment vertical="top" wrapText="1"/>
    </xf>
    <xf numFmtId="0" fontId="32" fillId="14" borderId="1" xfId="0" applyFont="1" applyFill="1" applyBorder="1" applyAlignment="1">
      <alignment wrapText="1"/>
    </xf>
    <xf numFmtId="4" fontId="16" fillId="19" borderId="1" xfId="0" applyNumberFormat="1" applyFont="1" applyFill="1" applyBorder="1" applyProtection="1">
      <protection locked="0"/>
    </xf>
    <xf numFmtId="4" fontId="16" fillId="20" borderId="1" xfId="40" applyNumberFormat="1" applyFont="1" applyFill="1" applyBorder="1" applyAlignment="1">
      <alignment wrapText="1"/>
    </xf>
    <xf numFmtId="4" fontId="17" fillId="20" borderId="1" xfId="0" applyNumberFormat="1" applyFont="1" applyFill="1" applyBorder="1" applyAlignment="1">
      <alignment wrapText="1"/>
    </xf>
    <xf numFmtId="0" fontId="16" fillId="13" borderId="0" xfId="0" applyFont="1" applyFill="1"/>
    <xf numFmtId="0" fontId="34" fillId="0" borderId="0" xfId="0" applyFont="1"/>
    <xf numFmtId="0" fontId="14" fillId="0" borderId="17" xfId="0" applyFont="1" applyBorder="1"/>
    <xf numFmtId="0" fontId="37" fillId="5" borderId="0" xfId="0" applyFont="1" applyFill="1"/>
    <xf numFmtId="49" fontId="38" fillId="21" borderId="0" xfId="0" applyNumberFormat="1" applyFont="1" applyFill="1" applyAlignment="1">
      <alignment horizontal="left" wrapText="1"/>
    </xf>
    <xf numFmtId="0" fontId="39" fillId="22" borderId="0" xfId="0" applyFont="1" applyFill="1"/>
    <xf numFmtId="0" fontId="28" fillId="22" borderId="0" xfId="0" applyFont="1" applyFill="1"/>
    <xf numFmtId="0" fontId="9" fillId="23" borderId="1" xfId="0" applyFont="1" applyFill="1" applyBorder="1" applyAlignment="1">
      <alignment horizontal="center" vertical="top" wrapText="1"/>
    </xf>
    <xf numFmtId="0" fontId="9" fillId="7" borderId="7" xfId="0" applyFont="1" applyFill="1" applyBorder="1" applyAlignment="1">
      <alignment horizontal="center" vertical="top" wrapText="1"/>
    </xf>
    <xf numFmtId="0" fontId="28" fillId="0" borderId="0" xfId="0" applyFont="1"/>
    <xf numFmtId="0" fontId="40" fillId="24" borderId="0" xfId="0" applyFont="1" applyFill="1"/>
    <xf numFmtId="0" fontId="32" fillId="0" borderId="0" xfId="13" applyFont="1" applyAlignment="1">
      <alignment horizontal="left" wrapText="1"/>
    </xf>
    <xf numFmtId="0" fontId="9" fillId="0" borderId="0" xfId="0" applyFont="1" applyAlignment="1">
      <alignment horizontal="center" vertical="top" wrapText="1"/>
    </xf>
    <xf numFmtId="0" fontId="36" fillId="0" borderId="0" xfId="13" applyFont="1" applyAlignment="1">
      <alignment horizontal="left" wrapText="1"/>
    </xf>
    <xf numFmtId="0" fontId="36" fillId="0" borderId="0" xfId="0" applyFont="1" applyAlignment="1">
      <alignment horizontal="left" wrapText="1"/>
    </xf>
    <xf numFmtId="0" fontId="41" fillId="22" borderId="0" xfId="0" applyFont="1" applyFill="1"/>
    <xf numFmtId="0" fontId="42" fillId="21" borderId="0" xfId="0" applyFont="1" applyFill="1" applyAlignment="1">
      <alignment horizontal="center" vertical="top" wrapText="1"/>
    </xf>
    <xf numFmtId="0" fontId="43" fillId="22" borderId="0" xfId="0" applyFont="1" applyFill="1"/>
    <xf numFmtId="0" fontId="36" fillId="0" borderId="0" xfId="0" quotePrefix="1" applyFont="1" applyAlignment="1">
      <alignment horizontal="left" wrapText="1"/>
    </xf>
    <xf numFmtId="4" fontId="35" fillId="18" borderId="28" xfId="0" applyNumberFormat="1" applyFont="1" applyFill="1" applyBorder="1" applyAlignment="1">
      <alignment horizontal="right" vertical="top" wrapText="1"/>
    </xf>
    <xf numFmtId="0" fontId="15" fillId="0" borderId="15" xfId="0" applyFont="1" applyBorder="1"/>
    <xf numFmtId="0" fontId="15" fillId="0" borderId="24" xfId="0" applyFont="1" applyBorder="1"/>
    <xf numFmtId="49" fontId="37" fillId="5" borderId="0" xfId="0" applyNumberFormat="1" applyFont="1" applyFill="1"/>
    <xf numFmtId="0" fontId="0" fillId="0" borderId="0" xfId="0" applyAlignment="1">
      <alignment horizontal="center"/>
    </xf>
    <xf numFmtId="0" fontId="0" fillId="0" borderId="0" xfId="0" applyProtection="1">
      <protection hidden="1"/>
    </xf>
    <xf numFmtId="0" fontId="6" fillId="3" borderId="5" xfId="20" applyFont="1" applyFill="1" applyBorder="1"/>
    <xf numFmtId="0" fontId="5" fillId="3" borderId="29" xfId="20" applyFont="1" applyFill="1" applyBorder="1"/>
    <xf numFmtId="0" fontId="5" fillId="3" borderId="30" xfId="15" applyFont="1" applyFill="1" applyBorder="1" applyAlignment="1">
      <alignment horizontal="right"/>
    </xf>
    <xf numFmtId="0" fontId="5" fillId="3" borderId="31" xfId="15" applyFont="1" applyFill="1" applyBorder="1" applyAlignment="1">
      <alignment horizontal="left"/>
    </xf>
    <xf numFmtId="0" fontId="32" fillId="0" borderId="0" xfId="0" applyFont="1" applyAlignment="1">
      <alignment horizontal="left" wrapText="1"/>
    </xf>
    <xf numFmtId="0" fontId="32" fillId="0" borderId="24" xfId="0" applyFont="1" applyBorder="1" applyAlignment="1">
      <alignment horizontal="left" wrapText="1"/>
    </xf>
    <xf numFmtId="0" fontId="17" fillId="3" borderId="11" xfId="0" applyFont="1" applyFill="1" applyBorder="1" applyAlignment="1">
      <alignment horizontal="center" vertical="top" wrapText="1"/>
    </xf>
    <xf numFmtId="49" fontId="5" fillId="11" borderId="1" xfId="0" applyNumberFormat="1" applyFont="1" applyFill="1" applyBorder="1" applyAlignment="1" applyProtection="1">
      <alignment wrapText="1"/>
      <protection locked="0"/>
    </xf>
    <xf numFmtId="49" fontId="5" fillId="11" borderId="9" xfId="0" applyNumberFormat="1" applyFont="1" applyFill="1" applyBorder="1" applyAlignment="1" applyProtection="1">
      <alignment wrapText="1"/>
      <protection locked="0"/>
    </xf>
    <xf numFmtId="0" fontId="16" fillId="11" borderId="9" xfId="40" applyFont="1" applyFill="1" applyBorder="1" applyAlignment="1" applyProtection="1">
      <alignment horizontal="left" wrapText="1"/>
      <protection locked="0"/>
    </xf>
    <xf numFmtId="49" fontId="16" fillId="11" borderId="9" xfId="40" applyNumberFormat="1" applyFont="1" applyFill="1" applyBorder="1" applyAlignment="1" applyProtection="1">
      <alignment wrapText="1"/>
      <protection locked="0"/>
    </xf>
    <xf numFmtId="0" fontId="44" fillId="5" borderId="0" xfId="0" applyFont="1" applyFill="1"/>
    <xf numFmtId="0" fontId="16" fillId="11" borderId="7" xfId="40" applyFont="1" applyFill="1" applyBorder="1" applyAlignment="1" applyProtection="1">
      <alignment horizontal="left" wrapText="1"/>
      <protection locked="0"/>
    </xf>
    <xf numFmtId="49" fontId="16" fillId="11" borderId="7" xfId="40" applyNumberFormat="1" applyFont="1" applyFill="1" applyBorder="1" applyAlignment="1" applyProtection="1">
      <alignment wrapText="1"/>
      <protection locked="0"/>
    </xf>
    <xf numFmtId="49" fontId="5" fillId="12" borderId="1" xfId="0" applyNumberFormat="1" applyFont="1" applyFill="1" applyBorder="1" applyAlignment="1">
      <alignment wrapText="1"/>
    </xf>
    <xf numFmtId="49" fontId="5" fillId="12" borderId="21" xfId="0" applyNumberFormat="1" applyFont="1" applyFill="1" applyBorder="1" applyAlignment="1">
      <alignment wrapText="1"/>
    </xf>
    <xf numFmtId="4" fontId="17" fillId="16" borderId="4" xfId="0" applyNumberFormat="1" applyFont="1" applyFill="1" applyBorder="1" applyAlignment="1" applyProtection="1">
      <alignment horizontal="right" wrapText="1"/>
      <protection hidden="1"/>
    </xf>
    <xf numFmtId="4" fontId="17" fillId="0" borderId="4" xfId="0" applyNumberFormat="1" applyFont="1" applyBorder="1" applyAlignment="1" applyProtection="1">
      <alignment horizontal="right" wrapText="1"/>
      <protection locked="0"/>
    </xf>
    <xf numFmtId="49" fontId="5" fillId="12" borderId="9" xfId="0" applyNumberFormat="1" applyFont="1" applyFill="1" applyBorder="1" applyAlignment="1">
      <alignment horizontal="left" wrapText="1"/>
    </xf>
    <xf numFmtId="49" fontId="5" fillId="12" borderId="7" xfId="0" applyNumberFormat="1" applyFont="1" applyFill="1" applyBorder="1" applyAlignment="1">
      <alignment horizontal="right" wrapText="1"/>
    </xf>
    <xf numFmtId="49" fontId="5" fillId="11" borderId="9" xfId="0" applyNumberFormat="1" applyFont="1" applyFill="1" applyBorder="1" applyAlignment="1" applyProtection="1">
      <alignment horizontal="left" wrapText="1"/>
      <protection locked="0"/>
    </xf>
    <xf numFmtId="49" fontId="44" fillId="5" borderId="0" xfId="0" applyNumberFormat="1" applyFont="1" applyFill="1" applyAlignment="1">
      <alignment horizontal="center" vertical="top" wrapText="1"/>
    </xf>
    <xf numFmtId="0" fontId="16" fillId="11" borderId="9" xfId="0" applyFont="1" applyFill="1" applyBorder="1" applyAlignment="1" applyProtection="1">
      <alignment wrapText="1"/>
      <protection locked="0"/>
    </xf>
    <xf numFmtId="49" fontId="5" fillId="11" borderId="9" xfId="0" applyNumberFormat="1" applyFont="1" applyFill="1" applyBorder="1" applyAlignment="1" applyProtection="1">
      <alignment horizontal="right" wrapText="1"/>
      <protection locked="0"/>
    </xf>
    <xf numFmtId="0" fontId="16" fillId="4" borderId="7" xfId="40" applyFont="1" applyFill="1" applyBorder="1" applyAlignment="1">
      <alignment horizontal="right" wrapText="1"/>
    </xf>
    <xf numFmtId="49" fontId="17" fillId="16" borderId="4" xfId="0" applyNumberFormat="1" applyFont="1" applyFill="1" applyBorder="1" applyAlignment="1" applyProtection="1">
      <alignment horizontal="right" wrapText="1"/>
      <protection hidden="1"/>
    </xf>
    <xf numFmtId="0" fontId="5" fillId="3" borderId="9" xfId="0" applyFont="1" applyFill="1" applyBorder="1" applyAlignment="1">
      <alignment horizontal="left" wrapText="1"/>
    </xf>
    <xf numFmtId="0" fontId="5" fillId="3" borderId="1" xfId="0" applyFont="1" applyFill="1" applyBorder="1" applyAlignment="1">
      <alignment horizontal="left" wrapText="1"/>
    </xf>
    <xf numFmtId="49" fontId="2" fillId="11" borderId="9" xfId="0" applyNumberFormat="1" applyFont="1" applyFill="1" applyBorder="1" applyAlignment="1" applyProtection="1">
      <alignment wrapText="1"/>
      <protection locked="0"/>
    </xf>
    <xf numFmtId="4" fontId="16" fillId="11" borderId="7" xfId="40" applyNumberFormat="1" applyFont="1" applyFill="1" applyBorder="1" applyAlignment="1" applyProtection="1">
      <alignment wrapText="1"/>
      <protection locked="0"/>
    </xf>
    <xf numFmtId="0" fontId="37" fillId="5" borderId="0" xfId="0" applyFont="1" applyFill="1" applyAlignment="1">
      <alignment horizontal="center" vertical="top"/>
    </xf>
    <xf numFmtId="49" fontId="5" fillId="11" borderId="1" xfId="0" applyNumberFormat="1" applyFont="1" applyFill="1" applyBorder="1" applyAlignment="1" applyProtection="1">
      <alignment horizontal="left" wrapText="1"/>
      <protection locked="0"/>
    </xf>
    <xf numFmtId="0" fontId="37" fillId="24" borderId="0" xfId="0" applyFont="1" applyFill="1"/>
    <xf numFmtId="0" fontId="48" fillId="13" borderId="0" xfId="0" applyFont="1" applyFill="1"/>
    <xf numFmtId="4" fontId="16" fillId="12" borderId="1" xfId="0" applyNumberFormat="1" applyFont="1" applyFill="1" applyBorder="1"/>
    <xf numFmtId="49" fontId="5" fillId="12" borderId="7" xfId="0" applyNumberFormat="1" applyFont="1" applyFill="1" applyBorder="1" applyAlignment="1">
      <alignment horizontal="left" wrapText="1"/>
    </xf>
    <xf numFmtId="0" fontId="48" fillId="13" borderId="0" xfId="0" applyFont="1" applyFill="1" applyAlignment="1">
      <alignment vertical="center"/>
    </xf>
    <xf numFmtId="0" fontId="16" fillId="12" borderId="9" xfId="0" applyFont="1" applyFill="1" applyBorder="1" applyAlignment="1" applyProtection="1">
      <alignment wrapText="1"/>
    </xf>
    <xf numFmtId="49" fontId="5" fillId="12" borderId="7" xfId="0" applyNumberFormat="1" applyFont="1" applyFill="1" applyBorder="1" applyAlignment="1" applyProtection="1">
      <alignment horizontal="right" wrapText="1"/>
    </xf>
    <xf numFmtId="49" fontId="5" fillId="12" borderId="9" xfId="0" applyNumberFormat="1" applyFont="1" applyFill="1" applyBorder="1" applyAlignment="1" applyProtection="1">
      <alignment wrapText="1"/>
    </xf>
    <xf numFmtId="49" fontId="5" fillId="12" borderId="9" xfId="0" applyNumberFormat="1" applyFont="1" applyFill="1" applyBorder="1" applyAlignment="1" applyProtection="1">
      <alignment horizontal="left" wrapText="1"/>
    </xf>
    <xf numFmtId="49" fontId="5" fillId="12" borderId="7" xfId="0" applyNumberFormat="1" applyFont="1" applyFill="1" applyBorder="1" applyAlignment="1" applyProtection="1">
      <alignment wrapText="1"/>
    </xf>
    <xf numFmtId="49" fontId="5" fillId="12" borderId="9" xfId="0" applyNumberFormat="1" applyFont="1" applyFill="1" applyBorder="1" applyAlignment="1" applyProtection="1">
      <alignment horizontal="right" wrapText="1"/>
    </xf>
    <xf numFmtId="49" fontId="5" fillId="12" borderId="7" xfId="0" applyNumberFormat="1" applyFont="1" applyFill="1" applyBorder="1" applyAlignment="1" applyProtection="1">
      <alignment horizontal="left" wrapText="1"/>
    </xf>
    <xf numFmtId="4" fontId="16" fillId="12" borderId="7" xfId="40" applyNumberFormat="1" applyFont="1" applyFill="1" applyBorder="1" applyAlignment="1" applyProtection="1">
      <alignment horizontal="right" wrapText="1"/>
    </xf>
    <xf numFmtId="0" fontId="5" fillId="3" borderId="7" xfId="0" applyFont="1" applyFill="1" applyBorder="1" applyAlignment="1">
      <alignment horizontal="left"/>
    </xf>
    <xf numFmtId="0" fontId="5" fillId="3" borderId="32" xfId="0" applyFont="1" applyFill="1" applyBorder="1" applyAlignment="1">
      <alignment horizontal="left" wrapText="1"/>
    </xf>
    <xf numFmtId="0" fontId="9" fillId="3" borderId="7" xfId="15" applyFont="1" applyFill="1" applyBorder="1" applyAlignment="1">
      <alignment horizontal="left" wrapText="1"/>
    </xf>
    <xf numFmtId="0" fontId="6" fillId="3" borderId="0" xfId="15" applyFont="1" applyFill="1" applyAlignment="1">
      <alignment horizontal="left" wrapText="1"/>
    </xf>
    <xf numFmtId="0" fontId="3" fillId="2" borderId="11" xfId="0" applyFont="1" applyFill="1" applyBorder="1" applyAlignment="1">
      <alignment horizontal="left"/>
    </xf>
    <xf numFmtId="0" fontId="0" fillId="0" borderId="0" xfId="0" applyAlignment="1">
      <alignment horizontal="center"/>
    </xf>
    <xf numFmtId="0" fontId="45" fillId="0" borderId="0" xfId="0" applyFont="1" applyAlignment="1">
      <alignment horizontal="center" vertical="center" wrapText="1"/>
    </xf>
    <xf numFmtId="0" fontId="45" fillId="0" borderId="0" xfId="0" applyFont="1" applyAlignment="1">
      <alignment horizontal="center" vertical="center"/>
    </xf>
    <xf numFmtId="0" fontId="3" fillId="2" borderId="33" xfId="37" applyFont="1" applyFill="1" applyBorder="1" applyAlignment="1">
      <alignment horizontal="left" vertical="center"/>
    </xf>
    <xf numFmtId="0" fontId="19" fillId="6" borderId="5"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3" fillId="2" borderId="34" xfId="0" applyFont="1" applyFill="1" applyBorder="1" applyAlignment="1">
      <alignment horizontal="right"/>
    </xf>
    <xf numFmtId="0" fontId="19" fillId="6" borderId="0" xfId="0" applyFont="1" applyFill="1" applyAlignment="1">
      <alignment horizontal="center" vertical="center" wrapText="1"/>
    </xf>
    <xf numFmtId="0" fontId="9" fillId="6" borderId="4"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21" xfId="0" applyFont="1" applyFill="1" applyBorder="1" applyAlignment="1">
      <alignment horizontal="right"/>
    </xf>
    <xf numFmtId="0" fontId="3" fillId="2" borderId="37" xfId="0" applyFont="1" applyFill="1" applyBorder="1" applyAlignment="1">
      <alignment horizontal="right"/>
    </xf>
    <xf numFmtId="0" fontId="3" fillId="2" borderId="38" xfId="0" applyFont="1" applyFill="1" applyBorder="1" applyAlignment="1">
      <alignment horizontal="right"/>
    </xf>
    <xf numFmtId="0" fontId="3" fillId="2" borderId="39" xfId="0" applyFont="1" applyFill="1" applyBorder="1" applyAlignment="1">
      <alignment horizontal="center" vertical="center"/>
    </xf>
    <xf numFmtId="0" fontId="19" fillId="6" borderId="2"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35" xfId="0" applyFont="1" applyFill="1" applyBorder="1" applyAlignment="1">
      <alignment horizontal="right"/>
    </xf>
    <xf numFmtId="0" fontId="19" fillId="6" borderId="7" xfId="0" applyFont="1" applyFill="1" applyBorder="1" applyAlignment="1">
      <alignment horizontal="center" vertical="center" wrapText="1"/>
    </xf>
    <xf numFmtId="0" fontId="3" fillId="2" borderId="40" xfId="0" applyFont="1" applyFill="1" applyBorder="1" applyAlignment="1">
      <alignment horizontal="right"/>
    </xf>
    <xf numFmtId="0" fontId="3" fillId="2" borderId="41" xfId="0" applyFont="1" applyFill="1" applyBorder="1" applyAlignment="1">
      <alignment horizontal="right"/>
    </xf>
    <xf numFmtId="0" fontId="3" fillId="2" borderId="42" xfId="0" applyFont="1" applyFill="1" applyBorder="1" applyAlignment="1">
      <alignment horizontal="right"/>
    </xf>
    <xf numFmtId="0" fontId="3" fillId="2" borderId="43" xfId="0" applyFont="1" applyFill="1" applyBorder="1" applyAlignment="1">
      <alignment horizontal="right"/>
    </xf>
    <xf numFmtId="0" fontId="19" fillId="6" borderId="33" xfId="0" applyFont="1" applyFill="1" applyBorder="1" applyAlignment="1">
      <alignment horizontal="center" vertical="center"/>
    </xf>
    <xf numFmtId="0" fontId="19" fillId="6" borderId="14" xfId="0" applyFont="1" applyFill="1" applyBorder="1" applyAlignment="1">
      <alignment horizontal="center" vertical="center"/>
    </xf>
    <xf numFmtId="0" fontId="19" fillId="9" borderId="0" xfId="0" applyFont="1" applyFill="1" applyAlignment="1">
      <alignment horizontal="center" wrapText="1"/>
    </xf>
    <xf numFmtId="0" fontId="17" fillId="7" borderId="36" xfId="0" applyFont="1" applyFill="1" applyBorder="1" applyAlignment="1">
      <alignment horizontal="right" wrapText="1"/>
    </xf>
    <xf numFmtId="0" fontId="23" fillId="5" borderId="13" xfId="0" applyFont="1" applyFill="1" applyBorder="1" applyAlignment="1">
      <alignment horizontal="center" wrapText="1"/>
    </xf>
    <xf numFmtId="0" fontId="19" fillId="6" borderId="7" xfId="0" applyFont="1" applyFill="1" applyBorder="1" applyAlignment="1">
      <alignment horizontal="center" vertical="center"/>
    </xf>
    <xf numFmtId="0" fontId="3" fillId="2" borderId="7" xfId="0" applyFont="1" applyFill="1" applyBorder="1" applyAlignment="1">
      <alignment horizontal="right" vertical="center" wrapText="1"/>
    </xf>
    <xf numFmtId="0" fontId="35" fillId="17" borderId="44" xfId="0" applyFont="1" applyFill="1" applyBorder="1" applyAlignment="1">
      <alignment horizontal="right" wrapText="1"/>
    </xf>
    <xf numFmtId="0" fontId="35" fillId="17" borderId="45" xfId="0" applyFont="1" applyFill="1" applyBorder="1" applyAlignment="1">
      <alignment horizontal="right" wrapText="1"/>
    </xf>
    <xf numFmtId="0" fontId="35" fillId="17" borderId="46" xfId="0" applyFont="1" applyFill="1" applyBorder="1" applyAlignment="1">
      <alignment horizontal="right" wrapText="1"/>
    </xf>
    <xf numFmtId="0" fontId="35" fillId="17" borderId="26" xfId="0" applyFont="1" applyFill="1" applyBorder="1" applyAlignment="1">
      <alignment horizontal="center" vertical="center" wrapText="1"/>
    </xf>
    <xf numFmtId="0" fontId="35" fillId="17" borderId="27" xfId="0" applyFont="1" applyFill="1" applyBorder="1" applyAlignment="1">
      <alignment horizontal="center" vertical="center" wrapText="1"/>
    </xf>
    <xf numFmtId="0" fontId="35" fillId="17" borderId="28" xfId="0" applyFont="1" applyFill="1" applyBorder="1" applyAlignment="1">
      <alignment horizontal="center" vertical="center" wrapText="1"/>
    </xf>
    <xf numFmtId="0" fontId="46" fillId="25" borderId="1" xfId="0" applyFont="1" applyFill="1" applyBorder="1" applyAlignment="1">
      <alignment horizontal="center" vertical="center" wrapText="1"/>
    </xf>
    <xf numFmtId="0" fontId="35" fillId="17" borderId="1" xfId="0" applyFont="1" applyFill="1" applyBorder="1" applyAlignment="1">
      <alignment horizontal="right" wrapText="1"/>
    </xf>
    <xf numFmtId="0" fontId="35" fillId="18" borderId="26" xfId="0" applyFont="1" applyFill="1" applyBorder="1" applyAlignment="1">
      <alignment horizontal="right" vertical="top" wrapText="1"/>
    </xf>
    <xf numFmtId="0" fontId="35" fillId="18" borderId="27" xfId="0" applyFont="1" applyFill="1" applyBorder="1" applyAlignment="1">
      <alignment horizontal="right" vertical="top" wrapText="1"/>
    </xf>
    <xf numFmtId="0" fontId="35" fillId="18" borderId="28" xfId="0" applyFont="1" applyFill="1" applyBorder="1" applyAlignment="1">
      <alignment horizontal="right" vertical="top" wrapText="1"/>
    </xf>
    <xf numFmtId="0" fontId="19" fillId="26" borderId="26" xfId="0" applyFont="1" applyFill="1" applyBorder="1" applyAlignment="1">
      <alignment horizontal="center" vertical="center" wrapText="1"/>
    </xf>
    <xf numFmtId="0" fontId="19" fillId="26" borderId="27" xfId="0" applyFont="1" applyFill="1" applyBorder="1" applyAlignment="1">
      <alignment horizontal="center" vertical="center" wrapText="1"/>
    </xf>
    <xf numFmtId="0" fontId="19" fillId="26" borderId="28" xfId="0" applyFont="1" applyFill="1" applyBorder="1" applyAlignment="1">
      <alignment horizontal="center" vertical="center" wrapText="1"/>
    </xf>
    <xf numFmtId="0" fontId="19" fillId="6" borderId="2" xfId="40" applyFont="1" applyFill="1" applyBorder="1" applyAlignment="1">
      <alignment horizontal="center" vertical="center" wrapText="1"/>
    </xf>
    <xf numFmtId="0" fontId="19" fillId="6" borderId="33" xfId="40" applyFont="1" applyFill="1" applyBorder="1" applyAlignment="1">
      <alignment horizontal="center" vertical="center" wrapText="1"/>
    </xf>
    <xf numFmtId="0" fontId="19" fillId="26" borderId="1" xfId="0" applyFont="1" applyFill="1" applyBorder="1" applyAlignment="1">
      <alignment horizontal="center" vertical="center" wrapText="1"/>
    </xf>
  </cellXfs>
  <cellStyles count="43">
    <cellStyle name="ErrorLink" xfId="1"/>
    <cellStyle name="Hyperlink" xfId="2" builtinId="8"/>
    <cellStyle name="Normal" xfId="0" builtinId="0"/>
    <cellStyle name="Normal 10" xfId="3"/>
    <cellStyle name="Normal 11" xfId="4"/>
    <cellStyle name="Normal 12" xfId="5"/>
    <cellStyle name="Normal 13" xfId="6"/>
    <cellStyle name="Normal 14" xfId="7"/>
    <cellStyle name="Normal 15" xfId="8"/>
    <cellStyle name="Normal 16" xfId="9"/>
    <cellStyle name="Normal 17" xfId="10"/>
    <cellStyle name="Normal 18" xfId="11"/>
    <cellStyle name="Normal 19" xfId="12"/>
    <cellStyle name="Normal 2" xfId="13"/>
    <cellStyle name="Normal 2 10" xfId="14"/>
    <cellStyle name="Normal 2 2" xfId="15"/>
    <cellStyle name="Normal 2 3" xfId="16"/>
    <cellStyle name="Normal 2 4" xfId="17"/>
    <cellStyle name="Normal 2 5" xfId="18"/>
    <cellStyle name="Normal 2 6" xfId="19"/>
    <cellStyle name="Normal 2 7" xfId="20"/>
    <cellStyle name="Normal 2 8" xfId="21"/>
    <cellStyle name="Normal 2 9" xfId="22"/>
    <cellStyle name="Normal 20" xfId="23"/>
    <cellStyle name="Normal 21" xfId="24"/>
    <cellStyle name="Normal 22" xfId="25"/>
    <cellStyle name="Normal 23" xfId="26"/>
    <cellStyle name="Normal 24" xfId="27"/>
    <cellStyle name="Normal 25" xfId="28"/>
    <cellStyle name="Normal 26" xfId="29"/>
    <cellStyle name="Normal 27" xfId="30"/>
    <cellStyle name="Normal 28" xfId="31"/>
    <cellStyle name="Normal 29" xfId="32"/>
    <cellStyle name="Normal 3" xfId="33"/>
    <cellStyle name="Normal 30" xfId="34"/>
    <cellStyle name="Normal 31" xfId="35"/>
    <cellStyle name="Normal 4" xfId="36"/>
    <cellStyle name="Normal 5" xfId="37"/>
    <cellStyle name="Normal 6" xfId="38"/>
    <cellStyle name="Normal 7" xfId="39"/>
    <cellStyle name="Normal 7 2" xfId="40"/>
    <cellStyle name="Normal 8" xfId="41"/>
    <cellStyle name="Normal 9" xfId="4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4.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4.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4.pn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4.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4.png"/><Relationship Id="rId4"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4.png"/><Relationship Id="rId4"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4.png"/><Relationship Id="rId4"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4.png"/><Relationship Id="rId4" Type="http://schemas.openxmlformats.org/officeDocument/2006/relationships/image" Target="../media/image6.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4.png"/><Relationship Id="rId4" Type="http://schemas.openxmlformats.org/officeDocument/2006/relationships/image" Target="../media/image6.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4.png"/><Relationship Id="rId4" Type="http://schemas.openxmlformats.org/officeDocument/2006/relationships/image" Target="../media/image6.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xdr:col>
      <xdr:colOff>2428875</xdr:colOff>
      <xdr:row>10</xdr:row>
      <xdr:rowOff>152400</xdr:rowOff>
    </xdr:from>
    <xdr:to>
      <xdr:col>2</xdr:col>
      <xdr:colOff>2695575</xdr:colOff>
      <xdr:row>11</xdr:row>
      <xdr:rowOff>200025</xdr:rowOff>
    </xdr:to>
    <xdr:pic>
      <xdr:nvPicPr>
        <xdr:cNvPr id="17410" name="Picture 1">
          <a:extLst>
            <a:ext uri="{FF2B5EF4-FFF2-40B4-BE49-F238E27FC236}">
              <a16:creationId xmlns="" xmlns:a16="http://schemas.microsoft.com/office/drawing/2014/main" id="{00000000-0008-0000-0000-0000024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48125" y="2247900"/>
          <a:ext cx="266700" cy="2571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2409825</xdr:colOff>
      <xdr:row>11</xdr:row>
      <xdr:rowOff>9525</xdr:rowOff>
    </xdr:from>
    <xdr:to>
      <xdr:col>3</xdr:col>
      <xdr:colOff>2667000</xdr:colOff>
      <xdr:row>12</xdr:row>
      <xdr:rowOff>9525</xdr:rowOff>
    </xdr:to>
    <xdr:pic>
      <xdr:nvPicPr>
        <xdr:cNvPr id="18434" name="Picture 1">
          <a:extLst>
            <a:ext uri="{FF2B5EF4-FFF2-40B4-BE49-F238E27FC236}">
              <a16:creationId xmlns="" xmlns:a16="http://schemas.microsoft.com/office/drawing/2014/main" id="{00000000-0008-0000-0600-0000024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248275" y="2019300"/>
          <a:ext cx="257175" cy="20955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2266950</xdr:colOff>
      <xdr:row>8</xdr:row>
      <xdr:rowOff>314325</xdr:rowOff>
    </xdr:from>
    <xdr:to>
      <xdr:col>1</xdr:col>
      <xdr:colOff>542925</xdr:colOff>
      <xdr:row>9</xdr:row>
      <xdr:rowOff>190500</xdr:rowOff>
    </xdr:to>
    <xdr:pic macro="[0]!Sheet6.next_sheet">
      <xdr:nvPicPr>
        <xdr:cNvPr id="16388" name="Picture 14">
          <a:extLst>
            <a:ext uri="{FF2B5EF4-FFF2-40B4-BE49-F238E27FC236}">
              <a16:creationId xmlns="" xmlns:a16="http://schemas.microsoft.com/office/drawing/2014/main" id="{00000000-0008-0000-0700-0000044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266950" y="2600325"/>
          <a:ext cx="885825" cy="352425"/>
        </a:xfrm>
        <a:prstGeom prst="rect">
          <a:avLst/>
        </a:prstGeom>
        <a:noFill/>
        <a:ln w="9525">
          <a:noFill/>
          <a:miter lim="800000"/>
          <a:headEnd/>
          <a:tailEnd/>
        </a:ln>
      </xdr:spPr>
    </xdr:pic>
    <xdr:clientData/>
  </xdr:twoCellAnchor>
  <xdr:twoCellAnchor>
    <xdr:from>
      <xdr:col>0</xdr:col>
      <xdr:colOff>0</xdr:colOff>
      <xdr:row>0</xdr:row>
      <xdr:rowOff>9525</xdr:rowOff>
    </xdr:from>
    <xdr:to>
      <xdr:col>1</xdr:col>
      <xdr:colOff>0</xdr:colOff>
      <xdr:row>0</xdr:row>
      <xdr:rowOff>619125</xdr:rowOff>
    </xdr:to>
    <xdr:pic>
      <xdr:nvPicPr>
        <xdr:cNvPr id="16389" name="Picture 2">
          <a:extLst>
            <a:ext uri="{FF2B5EF4-FFF2-40B4-BE49-F238E27FC236}">
              <a16:creationId xmlns="" xmlns:a16="http://schemas.microsoft.com/office/drawing/2014/main" id="{00000000-0008-0000-0700-0000054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9525"/>
          <a:ext cx="2609850" cy="60960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838200</xdr:colOff>
      <xdr:row>7</xdr:row>
      <xdr:rowOff>85725</xdr:rowOff>
    </xdr:from>
    <xdr:to>
      <xdr:col>2</xdr:col>
      <xdr:colOff>1743075</xdr:colOff>
      <xdr:row>7</xdr:row>
      <xdr:rowOff>428625</xdr:rowOff>
    </xdr:to>
    <xdr:pic macro="[0]!Sheet9.addRow_Sch1SalesDtls">
      <xdr:nvPicPr>
        <xdr:cNvPr id="19461" name="Picture 5">
          <a:extLst>
            <a:ext uri="{FF2B5EF4-FFF2-40B4-BE49-F238E27FC236}">
              <a16:creationId xmlns="" xmlns:a16="http://schemas.microsoft.com/office/drawing/2014/main" id="{00000000-0008-0000-0800-0000054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514850" y="1962150"/>
          <a:ext cx="904875" cy="342900"/>
        </a:xfrm>
        <a:prstGeom prst="rect">
          <a:avLst/>
        </a:prstGeom>
        <a:noFill/>
        <a:ln w="9525">
          <a:noFill/>
          <a:miter lim="800000"/>
          <a:headEnd/>
          <a:tailEnd/>
        </a:ln>
      </xdr:spPr>
    </xdr:pic>
    <xdr:clientData/>
  </xdr:twoCellAnchor>
  <xdr:twoCellAnchor>
    <xdr:from>
      <xdr:col>3</xdr:col>
      <xdr:colOff>95250</xdr:colOff>
      <xdr:row>8</xdr:row>
      <xdr:rowOff>47625</xdr:rowOff>
    </xdr:from>
    <xdr:to>
      <xdr:col>3</xdr:col>
      <xdr:colOff>1000125</xdr:colOff>
      <xdr:row>8</xdr:row>
      <xdr:rowOff>390525</xdr:rowOff>
    </xdr:to>
    <xdr:pic macro="[0]!Sheet9.next_sheet">
      <xdr:nvPicPr>
        <xdr:cNvPr id="19462" name="Picture 6">
          <a:extLst>
            <a:ext uri="{FF2B5EF4-FFF2-40B4-BE49-F238E27FC236}">
              <a16:creationId xmlns="" xmlns:a16="http://schemas.microsoft.com/office/drawing/2014/main" id="{00000000-0008-0000-0800-0000064C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610225" y="2400300"/>
          <a:ext cx="904875" cy="342900"/>
        </a:xfrm>
        <a:prstGeom prst="rect">
          <a:avLst/>
        </a:prstGeom>
        <a:noFill/>
        <a:ln w="9525">
          <a:noFill/>
          <a:miter lim="800000"/>
          <a:headEnd/>
          <a:tailEnd/>
        </a:ln>
      </xdr:spPr>
    </xdr:pic>
    <xdr:clientData/>
  </xdr:twoCellAnchor>
  <xdr:twoCellAnchor>
    <xdr:from>
      <xdr:col>2</xdr:col>
      <xdr:colOff>838200</xdr:colOff>
      <xdr:row>8</xdr:row>
      <xdr:rowOff>47625</xdr:rowOff>
    </xdr:from>
    <xdr:to>
      <xdr:col>2</xdr:col>
      <xdr:colOff>1743075</xdr:colOff>
      <xdr:row>8</xdr:row>
      <xdr:rowOff>390525</xdr:rowOff>
    </xdr:to>
    <xdr:pic macro="[0]!Sheet9.prev_sheet">
      <xdr:nvPicPr>
        <xdr:cNvPr id="19463" name="Picture 7">
          <a:extLst>
            <a:ext uri="{FF2B5EF4-FFF2-40B4-BE49-F238E27FC236}">
              <a16:creationId xmlns="" xmlns:a16="http://schemas.microsoft.com/office/drawing/2014/main" id="{00000000-0008-0000-0800-0000074C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514850" y="2400300"/>
          <a:ext cx="904875" cy="342900"/>
        </a:xfrm>
        <a:prstGeom prst="rect">
          <a:avLst/>
        </a:prstGeom>
        <a:noFill/>
        <a:ln w="9525">
          <a:noFill/>
          <a:miter lim="800000"/>
          <a:headEnd/>
          <a:tailEnd/>
        </a:ln>
      </xdr:spPr>
    </xdr:pic>
    <xdr:clientData/>
  </xdr:twoCellAnchor>
  <xdr:twoCellAnchor>
    <xdr:from>
      <xdr:col>3</xdr:col>
      <xdr:colOff>95250</xdr:colOff>
      <xdr:row>7</xdr:row>
      <xdr:rowOff>104775</xdr:rowOff>
    </xdr:from>
    <xdr:to>
      <xdr:col>3</xdr:col>
      <xdr:colOff>1000125</xdr:colOff>
      <xdr:row>7</xdr:row>
      <xdr:rowOff>447675</xdr:rowOff>
    </xdr:to>
    <xdr:pic macro="[0]!Sch1_GeneralRateSalesDtlsList">
      <xdr:nvPicPr>
        <xdr:cNvPr id="19464" name="Picture 9">
          <a:extLst>
            <a:ext uri="{FF2B5EF4-FFF2-40B4-BE49-F238E27FC236}">
              <a16:creationId xmlns="" xmlns:a16="http://schemas.microsoft.com/office/drawing/2014/main" id="{00000000-0008-0000-0800-0000084C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610225" y="1981200"/>
          <a:ext cx="904875" cy="342900"/>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857250</xdr:colOff>
      <xdr:row>7</xdr:row>
      <xdr:rowOff>66675</xdr:rowOff>
    </xdr:from>
    <xdr:to>
      <xdr:col>2</xdr:col>
      <xdr:colOff>1762125</xdr:colOff>
      <xdr:row>7</xdr:row>
      <xdr:rowOff>409575</xdr:rowOff>
    </xdr:to>
    <xdr:pic macro="[0]!Sheet10.addRow_Sch2SalesDtls">
      <xdr:nvPicPr>
        <xdr:cNvPr id="20485" name="Picture 5">
          <a:extLst>
            <a:ext uri="{FF2B5EF4-FFF2-40B4-BE49-F238E27FC236}">
              <a16:creationId xmlns="" xmlns:a16="http://schemas.microsoft.com/office/drawing/2014/main" id="{00000000-0008-0000-0900-0000055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533900" y="1933575"/>
          <a:ext cx="904875" cy="342900"/>
        </a:xfrm>
        <a:prstGeom prst="rect">
          <a:avLst/>
        </a:prstGeom>
        <a:noFill/>
        <a:ln w="9525">
          <a:noFill/>
          <a:miter lim="800000"/>
          <a:headEnd/>
          <a:tailEnd/>
        </a:ln>
      </xdr:spPr>
    </xdr:pic>
    <xdr:clientData/>
  </xdr:twoCellAnchor>
  <xdr:twoCellAnchor>
    <xdr:from>
      <xdr:col>3</xdr:col>
      <xdr:colOff>104775</xdr:colOff>
      <xdr:row>8</xdr:row>
      <xdr:rowOff>9525</xdr:rowOff>
    </xdr:from>
    <xdr:to>
      <xdr:col>3</xdr:col>
      <xdr:colOff>1009650</xdr:colOff>
      <xdr:row>8</xdr:row>
      <xdr:rowOff>352425</xdr:rowOff>
    </xdr:to>
    <xdr:pic macro="[0]!Sheet10.next_sheet">
      <xdr:nvPicPr>
        <xdr:cNvPr id="20486" name="Picture 6">
          <a:extLst>
            <a:ext uri="{FF2B5EF4-FFF2-40B4-BE49-F238E27FC236}">
              <a16:creationId xmlns="" xmlns:a16="http://schemas.microsoft.com/office/drawing/2014/main" id="{00000000-0008-0000-0900-0000065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619750" y="2352675"/>
          <a:ext cx="904875" cy="342900"/>
        </a:xfrm>
        <a:prstGeom prst="rect">
          <a:avLst/>
        </a:prstGeom>
        <a:noFill/>
        <a:ln w="9525">
          <a:noFill/>
          <a:miter lim="800000"/>
          <a:headEnd/>
          <a:tailEnd/>
        </a:ln>
      </xdr:spPr>
    </xdr:pic>
    <xdr:clientData/>
  </xdr:twoCellAnchor>
  <xdr:twoCellAnchor>
    <xdr:from>
      <xdr:col>2</xdr:col>
      <xdr:colOff>857250</xdr:colOff>
      <xdr:row>8</xdr:row>
      <xdr:rowOff>9525</xdr:rowOff>
    </xdr:from>
    <xdr:to>
      <xdr:col>2</xdr:col>
      <xdr:colOff>1762125</xdr:colOff>
      <xdr:row>8</xdr:row>
      <xdr:rowOff>352425</xdr:rowOff>
    </xdr:to>
    <xdr:pic macro="[0]!Sheet10.prev_sheet">
      <xdr:nvPicPr>
        <xdr:cNvPr id="20487" name="Picture 7">
          <a:extLst>
            <a:ext uri="{FF2B5EF4-FFF2-40B4-BE49-F238E27FC236}">
              <a16:creationId xmlns="" xmlns:a16="http://schemas.microsoft.com/office/drawing/2014/main" id="{00000000-0008-0000-0900-0000075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533900" y="2352675"/>
          <a:ext cx="904875" cy="342900"/>
        </a:xfrm>
        <a:prstGeom prst="rect">
          <a:avLst/>
        </a:prstGeom>
        <a:noFill/>
        <a:ln w="9525">
          <a:noFill/>
          <a:miter lim="800000"/>
          <a:headEnd/>
          <a:tailEnd/>
        </a:ln>
      </xdr:spPr>
    </xdr:pic>
    <xdr:clientData/>
  </xdr:twoCellAnchor>
  <xdr:twoCellAnchor>
    <xdr:from>
      <xdr:col>3</xdr:col>
      <xdr:colOff>104775</xdr:colOff>
      <xdr:row>7</xdr:row>
      <xdr:rowOff>76200</xdr:rowOff>
    </xdr:from>
    <xdr:to>
      <xdr:col>3</xdr:col>
      <xdr:colOff>1009650</xdr:colOff>
      <xdr:row>7</xdr:row>
      <xdr:rowOff>419100</xdr:rowOff>
    </xdr:to>
    <xdr:pic macro="[0]!Sch2_OtherRateSalesDtlsList">
      <xdr:nvPicPr>
        <xdr:cNvPr id="20488" name="Picture 14">
          <a:extLst>
            <a:ext uri="{FF2B5EF4-FFF2-40B4-BE49-F238E27FC236}">
              <a16:creationId xmlns="" xmlns:a16="http://schemas.microsoft.com/office/drawing/2014/main" id="{00000000-0008-0000-0900-0000085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619750" y="1943100"/>
          <a:ext cx="904875" cy="3429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838200</xdr:colOff>
      <xdr:row>19</xdr:row>
      <xdr:rowOff>85725</xdr:rowOff>
    </xdr:from>
    <xdr:to>
      <xdr:col>2</xdr:col>
      <xdr:colOff>1743075</xdr:colOff>
      <xdr:row>19</xdr:row>
      <xdr:rowOff>428625</xdr:rowOff>
    </xdr:to>
    <xdr:pic macro="[0]!Sheet11.addRow_Sch3SalesExpDtls">
      <xdr:nvPicPr>
        <xdr:cNvPr id="21513" name="Picture 5">
          <a:extLst>
            <a:ext uri="{FF2B5EF4-FFF2-40B4-BE49-F238E27FC236}">
              <a16:creationId xmlns="" xmlns:a16="http://schemas.microsoft.com/office/drawing/2014/main" id="{00000000-0008-0000-0A00-0000095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514850" y="4743450"/>
          <a:ext cx="904875" cy="342900"/>
        </a:xfrm>
        <a:prstGeom prst="rect">
          <a:avLst/>
        </a:prstGeom>
        <a:noFill/>
        <a:ln w="9525">
          <a:noFill/>
          <a:miter lim="800000"/>
          <a:headEnd/>
          <a:tailEnd/>
        </a:ln>
      </xdr:spPr>
    </xdr:pic>
    <xdr:clientData/>
  </xdr:twoCellAnchor>
  <xdr:twoCellAnchor>
    <xdr:from>
      <xdr:col>3</xdr:col>
      <xdr:colOff>95250</xdr:colOff>
      <xdr:row>20</xdr:row>
      <xdr:rowOff>38100</xdr:rowOff>
    </xdr:from>
    <xdr:to>
      <xdr:col>3</xdr:col>
      <xdr:colOff>1000125</xdr:colOff>
      <xdr:row>20</xdr:row>
      <xdr:rowOff>381000</xdr:rowOff>
    </xdr:to>
    <xdr:pic macro="[0]!Sheet11.next_sheet">
      <xdr:nvPicPr>
        <xdr:cNvPr id="21514" name="Picture 6">
          <a:extLst>
            <a:ext uri="{FF2B5EF4-FFF2-40B4-BE49-F238E27FC236}">
              <a16:creationId xmlns="" xmlns:a16="http://schemas.microsoft.com/office/drawing/2014/main" id="{00000000-0008-0000-0A00-00000A5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610225" y="5172075"/>
          <a:ext cx="904875" cy="342900"/>
        </a:xfrm>
        <a:prstGeom prst="rect">
          <a:avLst/>
        </a:prstGeom>
        <a:noFill/>
        <a:ln w="9525">
          <a:noFill/>
          <a:miter lim="800000"/>
          <a:headEnd/>
          <a:tailEnd/>
        </a:ln>
      </xdr:spPr>
    </xdr:pic>
    <xdr:clientData/>
  </xdr:twoCellAnchor>
  <xdr:twoCellAnchor>
    <xdr:from>
      <xdr:col>2</xdr:col>
      <xdr:colOff>838200</xdr:colOff>
      <xdr:row>20</xdr:row>
      <xdr:rowOff>38100</xdr:rowOff>
    </xdr:from>
    <xdr:to>
      <xdr:col>2</xdr:col>
      <xdr:colOff>1743075</xdr:colOff>
      <xdr:row>20</xdr:row>
      <xdr:rowOff>381000</xdr:rowOff>
    </xdr:to>
    <xdr:pic macro="[0]!Sheet11.prev_sheet">
      <xdr:nvPicPr>
        <xdr:cNvPr id="21515" name="Picture 7">
          <a:extLst>
            <a:ext uri="{FF2B5EF4-FFF2-40B4-BE49-F238E27FC236}">
              <a16:creationId xmlns="" xmlns:a16="http://schemas.microsoft.com/office/drawing/2014/main" id="{00000000-0008-0000-0A00-00000B5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514850" y="5172075"/>
          <a:ext cx="904875" cy="342900"/>
        </a:xfrm>
        <a:prstGeom prst="rect">
          <a:avLst/>
        </a:prstGeom>
        <a:noFill/>
        <a:ln w="9525">
          <a:noFill/>
          <a:miter lim="800000"/>
          <a:headEnd/>
          <a:tailEnd/>
        </a:ln>
      </xdr:spPr>
    </xdr:pic>
    <xdr:clientData/>
  </xdr:twoCellAnchor>
  <xdr:twoCellAnchor>
    <xdr:from>
      <xdr:col>3</xdr:col>
      <xdr:colOff>95250</xdr:colOff>
      <xdr:row>19</xdr:row>
      <xdr:rowOff>85725</xdr:rowOff>
    </xdr:from>
    <xdr:to>
      <xdr:col>3</xdr:col>
      <xdr:colOff>1000125</xdr:colOff>
      <xdr:row>19</xdr:row>
      <xdr:rowOff>428625</xdr:rowOff>
    </xdr:to>
    <xdr:pic macro="[0]!Sch3_ZeroRateExportList">
      <xdr:nvPicPr>
        <xdr:cNvPr id="21516" name="Picture 11">
          <a:extLst>
            <a:ext uri="{FF2B5EF4-FFF2-40B4-BE49-F238E27FC236}">
              <a16:creationId xmlns="" xmlns:a16="http://schemas.microsoft.com/office/drawing/2014/main" id="{00000000-0008-0000-0A00-00000C54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610225" y="4743450"/>
          <a:ext cx="904875" cy="342900"/>
        </a:xfrm>
        <a:prstGeom prst="rect">
          <a:avLst/>
        </a:prstGeom>
        <a:noFill/>
        <a:ln w="9525">
          <a:noFill/>
          <a:miter lim="800000"/>
          <a:headEnd/>
          <a:tailEnd/>
        </a:ln>
      </xdr:spPr>
    </xdr:pic>
    <xdr:clientData/>
  </xdr:twoCellAnchor>
  <xdr:twoCellAnchor>
    <xdr:from>
      <xdr:col>2</xdr:col>
      <xdr:colOff>866775</xdr:colOff>
      <xdr:row>8</xdr:row>
      <xdr:rowOff>123825</xdr:rowOff>
    </xdr:from>
    <xdr:to>
      <xdr:col>3</xdr:col>
      <xdr:colOff>1009650</xdr:colOff>
      <xdr:row>10</xdr:row>
      <xdr:rowOff>95250</xdr:rowOff>
    </xdr:to>
    <xdr:grpSp>
      <xdr:nvGrpSpPr>
        <xdr:cNvPr id="21517" name="Group 2">
          <a:extLst>
            <a:ext uri="{FF2B5EF4-FFF2-40B4-BE49-F238E27FC236}">
              <a16:creationId xmlns="" xmlns:a16="http://schemas.microsoft.com/office/drawing/2014/main" id="{00000000-0008-0000-0A00-00000D540000}"/>
            </a:ext>
          </a:extLst>
        </xdr:cNvPr>
        <xdr:cNvGrpSpPr>
          <a:grpSpLocks/>
        </xdr:cNvGrpSpPr>
      </xdr:nvGrpSpPr>
      <xdr:grpSpPr bwMode="auto">
        <a:xfrm>
          <a:off x="4714875" y="2168525"/>
          <a:ext cx="2066925" cy="365125"/>
          <a:chOff x="4572000" y="2238375"/>
          <a:chExt cx="1990725" cy="371475"/>
        </a:xfrm>
      </xdr:grpSpPr>
      <xdr:pic macro="[0]!Sheet11.addRow_Sch3SalesDtls">
        <xdr:nvPicPr>
          <xdr:cNvPr id="21518" name="Picture 5">
            <a:extLst>
              <a:ext uri="{FF2B5EF4-FFF2-40B4-BE49-F238E27FC236}">
                <a16:creationId xmlns="" xmlns:a16="http://schemas.microsoft.com/office/drawing/2014/main" id="{00000000-0008-0000-0A00-00000E5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572000" y="2238375"/>
            <a:ext cx="914400" cy="371475"/>
          </a:xfrm>
          <a:prstGeom prst="rect">
            <a:avLst/>
          </a:prstGeom>
          <a:noFill/>
          <a:ln w="9525">
            <a:noFill/>
            <a:miter lim="800000"/>
            <a:headEnd/>
            <a:tailEnd/>
          </a:ln>
        </xdr:spPr>
      </xdr:pic>
      <xdr:pic macro="[0]!importCSV_Sch3_zeroSalesLst">
        <xdr:nvPicPr>
          <xdr:cNvPr id="21519" name="Picture 12">
            <a:extLst>
              <a:ext uri="{FF2B5EF4-FFF2-40B4-BE49-F238E27FC236}">
                <a16:creationId xmlns="" xmlns:a16="http://schemas.microsoft.com/office/drawing/2014/main" id="{00000000-0008-0000-0A00-00000F54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648325" y="2238375"/>
            <a:ext cx="914400" cy="342900"/>
          </a:xfrm>
          <a:prstGeom prst="rect">
            <a:avLst/>
          </a:prstGeom>
          <a:noFill/>
          <a:ln w="9525">
            <a:noFill/>
            <a:miter lim="800000"/>
            <a:headEnd/>
            <a:tailEnd/>
          </a:ln>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838200</xdr:colOff>
      <xdr:row>7</xdr:row>
      <xdr:rowOff>85725</xdr:rowOff>
    </xdr:from>
    <xdr:to>
      <xdr:col>2</xdr:col>
      <xdr:colOff>1743075</xdr:colOff>
      <xdr:row>7</xdr:row>
      <xdr:rowOff>428625</xdr:rowOff>
    </xdr:to>
    <xdr:pic macro="[0]!Sheet12.addRow_Sch4SalesDtls">
      <xdr:nvPicPr>
        <xdr:cNvPr id="22533" name="Picture 5">
          <a:extLst>
            <a:ext uri="{FF2B5EF4-FFF2-40B4-BE49-F238E27FC236}">
              <a16:creationId xmlns="" xmlns:a16="http://schemas.microsoft.com/office/drawing/2014/main" id="{00000000-0008-0000-0B00-0000055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514850" y="1933575"/>
          <a:ext cx="904875" cy="342900"/>
        </a:xfrm>
        <a:prstGeom prst="rect">
          <a:avLst/>
        </a:prstGeom>
        <a:noFill/>
        <a:ln w="9525">
          <a:noFill/>
          <a:miter lim="800000"/>
          <a:headEnd/>
          <a:tailEnd/>
        </a:ln>
      </xdr:spPr>
    </xdr:pic>
    <xdr:clientData/>
  </xdr:twoCellAnchor>
  <xdr:twoCellAnchor>
    <xdr:from>
      <xdr:col>3</xdr:col>
      <xdr:colOff>95250</xdr:colOff>
      <xdr:row>8</xdr:row>
      <xdr:rowOff>38100</xdr:rowOff>
    </xdr:from>
    <xdr:to>
      <xdr:col>3</xdr:col>
      <xdr:colOff>1000125</xdr:colOff>
      <xdr:row>8</xdr:row>
      <xdr:rowOff>381000</xdr:rowOff>
    </xdr:to>
    <xdr:pic macro="[0]!Sheet12.next_sheet">
      <xdr:nvPicPr>
        <xdr:cNvPr id="22534" name="Picture 6">
          <a:extLst>
            <a:ext uri="{FF2B5EF4-FFF2-40B4-BE49-F238E27FC236}">
              <a16:creationId xmlns="" xmlns:a16="http://schemas.microsoft.com/office/drawing/2014/main" id="{00000000-0008-0000-0B00-0000065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610225" y="2362200"/>
          <a:ext cx="904875" cy="342900"/>
        </a:xfrm>
        <a:prstGeom prst="rect">
          <a:avLst/>
        </a:prstGeom>
        <a:noFill/>
        <a:ln w="9525">
          <a:noFill/>
          <a:miter lim="800000"/>
          <a:headEnd/>
          <a:tailEnd/>
        </a:ln>
      </xdr:spPr>
    </xdr:pic>
    <xdr:clientData/>
  </xdr:twoCellAnchor>
  <xdr:twoCellAnchor>
    <xdr:from>
      <xdr:col>2</xdr:col>
      <xdr:colOff>838200</xdr:colOff>
      <xdr:row>8</xdr:row>
      <xdr:rowOff>38100</xdr:rowOff>
    </xdr:from>
    <xdr:to>
      <xdr:col>2</xdr:col>
      <xdr:colOff>1743075</xdr:colOff>
      <xdr:row>8</xdr:row>
      <xdr:rowOff>381000</xdr:rowOff>
    </xdr:to>
    <xdr:pic macro="[0]!Sheet12.prev_sheet">
      <xdr:nvPicPr>
        <xdr:cNvPr id="22535" name="Picture 7">
          <a:extLst>
            <a:ext uri="{FF2B5EF4-FFF2-40B4-BE49-F238E27FC236}">
              <a16:creationId xmlns="" xmlns:a16="http://schemas.microsoft.com/office/drawing/2014/main" id="{00000000-0008-0000-0B00-00000758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514850" y="2362200"/>
          <a:ext cx="904875" cy="342900"/>
        </a:xfrm>
        <a:prstGeom prst="rect">
          <a:avLst/>
        </a:prstGeom>
        <a:noFill/>
        <a:ln w="9525">
          <a:noFill/>
          <a:miter lim="800000"/>
          <a:headEnd/>
          <a:tailEnd/>
        </a:ln>
      </xdr:spPr>
    </xdr:pic>
    <xdr:clientData/>
  </xdr:twoCellAnchor>
  <xdr:twoCellAnchor>
    <xdr:from>
      <xdr:col>3</xdr:col>
      <xdr:colOff>95250</xdr:colOff>
      <xdr:row>7</xdr:row>
      <xdr:rowOff>85725</xdr:rowOff>
    </xdr:from>
    <xdr:to>
      <xdr:col>3</xdr:col>
      <xdr:colOff>1000125</xdr:colOff>
      <xdr:row>7</xdr:row>
      <xdr:rowOff>428625</xdr:rowOff>
    </xdr:to>
    <xdr:pic macro="[0]!Sch4_ExemptSalesDtlsList">
      <xdr:nvPicPr>
        <xdr:cNvPr id="22536" name="Picture 9">
          <a:extLst>
            <a:ext uri="{FF2B5EF4-FFF2-40B4-BE49-F238E27FC236}">
              <a16:creationId xmlns="" xmlns:a16="http://schemas.microsoft.com/office/drawing/2014/main" id="{00000000-0008-0000-0B00-00000858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610225" y="1933575"/>
          <a:ext cx="904875" cy="34290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2</xdr:col>
      <xdr:colOff>838200</xdr:colOff>
      <xdr:row>7</xdr:row>
      <xdr:rowOff>85725</xdr:rowOff>
    </xdr:from>
    <xdr:to>
      <xdr:col>2</xdr:col>
      <xdr:colOff>1743075</xdr:colOff>
      <xdr:row>7</xdr:row>
      <xdr:rowOff>428625</xdr:rowOff>
    </xdr:to>
    <xdr:pic macro="[0]!Sheet13.addRow_Sch5PurchsDtls">
      <xdr:nvPicPr>
        <xdr:cNvPr id="23558" name="Picture 5">
          <a:extLst>
            <a:ext uri="{FF2B5EF4-FFF2-40B4-BE49-F238E27FC236}">
              <a16:creationId xmlns="" xmlns:a16="http://schemas.microsoft.com/office/drawing/2014/main" id="{00000000-0008-0000-0C00-0000065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514850" y="2009775"/>
          <a:ext cx="904875" cy="342900"/>
        </a:xfrm>
        <a:prstGeom prst="rect">
          <a:avLst/>
        </a:prstGeom>
        <a:noFill/>
        <a:ln w="9525">
          <a:noFill/>
          <a:miter lim="800000"/>
          <a:headEnd/>
          <a:tailEnd/>
        </a:ln>
      </xdr:spPr>
    </xdr:pic>
    <xdr:clientData/>
  </xdr:twoCellAnchor>
  <xdr:twoCellAnchor>
    <xdr:from>
      <xdr:col>3</xdr:col>
      <xdr:colOff>95250</xdr:colOff>
      <xdr:row>8</xdr:row>
      <xdr:rowOff>38100</xdr:rowOff>
    </xdr:from>
    <xdr:to>
      <xdr:col>3</xdr:col>
      <xdr:colOff>1000125</xdr:colOff>
      <xdr:row>8</xdr:row>
      <xdr:rowOff>381000</xdr:rowOff>
    </xdr:to>
    <xdr:pic macro="[0]!Sheet13.next_sheet">
      <xdr:nvPicPr>
        <xdr:cNvPr id="23559" name="Picture 6">
          <a:extLst>
            <a:ext uri="{FF2B5EF4-FFF2-40B4-BE49-F238E27FC236}">
              <a16:creationId xmlns="" xmlns:a16="http://schemas.microsoft.com/office/drawing/2014/main" id="{00000000-0008-0000-0C00-0000075C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610225" y="2438400"/>
          <a:ext cx="904875" cy="342900"/>
        </a:xfrm>
        <a:prstGeom prst="rect">
          <a:avLst/>
        </a:prstGeom>
        <a:noFill/>
        <a:ln w="9525">
          <a:noFill/>
          <a:miter lim="800000"/>
          <a:headEnd/>
          <a:tailEnd/>
        </a:ln>
      </xdr:spPr>
    </xdr:pic>
    <xdr:clientData/>
  </xdr:twoCellAnchor>
  <xdr:twoCellAnchor>
    <xdr:from>
      <xdr:col>2</xdr:col>
      <xdr:colOff>838200</xdr:colOff>
      <xdr:row>8</xdr:row>
      <xdr:rowOff>38100</xdr:rowOff>
    </xdr:from>
    <xdr:to>
      <xdr:col>2</xdr:col>
      <xdr:colOff>1743075</xdr:colOff>
      <xdr:row>8</xdr:row>
      <xdr:rowOff>381000</xdr:rowOff>
    </xdr:to>
    <xdr:pic macro="[0]!Sheet13.prev_sheet">
      <xdr:nvPicPr>
        <xdr:cNvPr id="23560" name="Picture 7">
          <a:extLst>
            <a:ext uri="{FF2B5EF4-FFF2-40B4-BE49-F238E27FC236}">
              <a16:creationId xmlns="" xmlns:a16="http://schemas.microsoft.com/office/drawing/2014/main" id="{00000000-0008-0000-0C00-0000085C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514850" y="2438400"/>
          <a:ext cx="904875" cy="342900"/>
        </a:xfrm>
        <a:prstGeom prst="rect">
          <a:avLst/>
        </a:prstGeom>
        <a:noFill/>
        <a:ln w="9525">
          <a:noFill/>
          <a:miter lim="800000"/>
          <a:headEnd/>
          <a:tailEnd/>
        </a:ln>
      </xdr:spPr>
    </xdr:pic>
    <xdr:clientData/>
  </xdr:twoCellAnchor>
  <xdr:twoCellAnchor>
    <xdr:from>
      <xdr:col>3</xdr:col>
      <xdr:colOff>95250</xdr:colOff>
      <xdr:row>7</xdr:row>
      <xdr:rowOff>85725</xdr:rowOff>
    </xdr:from>
    <xdr:to>
      <xdr:col>3</xdr:col>
      <xdr:colOff>1000125</xdr:colOff>
      <xdr:row>7</xdr:row>
      <xdr:rowOff>428625</xdr:rowOff>
    </xdr:to>
    <xdr:pic macro="[0]!Sch5_InputTaxPurchDtlsGRList">
      <xdr:nvPicPr>
        <xdr:cNvPr id="23561" name="Picture 9">
          <a:extLst>
            <a:ext uri="{FF2B5EF4-FFF2-40B4-BE49-F238E27FC236}">
              <a16:creationId xmlns="" xmlns:a16="http://schemas.microsoft.com/office/drawing/2014/main" id="{00000000-0008-0000-0C00-0000095C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610225" y="2009775"/>
          <a:ext cx="904875" cy="342900"/>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838200</xdr:colOff>
      <xdr:row>7</xdr:row>
      <xdr:rowOff>85725</xdr:rowOff>
    </xdr:from>
    <xdr:to>
      <xdr:col>2</xdr:col>
      <xdr:colOff>1743075</xdr:colOff>
      <xdr:row>7</xdr:row>
      <xdr:rowOff>428625</xdr:rowOff>
    </xdr:to>
    <xdr:pic macro="[0]!Sheet14.addRow_Sch6PurchsDtls">
      <xdr:nvPicPr>
        <xdr:cNvPr id="24582" name="Picture 5">
          <a:extLst>
            <a:ext uri="{FF2B5EF4-FFF2-40B4-BE49-F238E27FC236}">
              <a16:creationId xmlns="" xmlns:a16="http://schemas.microsoft.com/office/drawing/2014/main" id="{00000000-0008-0000-0D00-0000066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514850" y="1990725"/>
          <a:ext cx="904875" cy="342900"/>
        </a:xfrm>
        <a:prstGeom prst="rect">
          <a:avLst/>
        </a:prstGeom>
        <a:noFill/>
        <a:ln w="9525">
          <a:noFill/>
          <a:miter lim="800000"/>
          <a:headEnd/>
          <a:tailEnd/>
        </a:ln>
      </xdr:spPr>
    </xdr:pic>
    <xdr:clientData/>
  </xdr:twoCellAnchor>
  <xdr:twoCellAnchor>
    <xdr:from>
      <xdr:col>3</xdr:col>
      <xdr:colOff>95250</xdr:colOff>
      <xdr:row>8</xdr:row>
      <xdr:rowOff>38100</xdr:rowOff>
    </xdr:from>
    <xdr:to>
      <xdr:col>3</xdr:col>
      <xdr:colOff>1000125</xdr:colOff>
      <xdr:row>8</xdr:row>
      <xdr:rowOff>381000</xdr:rowOff>
    </xdr:to>
    <xdr:pic macro="[0]!Sheet14.next_sheet">
      <xdr:nvPicPr>
        <xdr:cNvPr id="24583" name="Picture 6">
          <a:extLst>
            <a:ext uri="{FF2B5EF4-FFF2-40B4-BE49-F238E27FC236}">
              <a16:creationId xmlns="" xmlns:a16="http://schemas.microsoft.com/office/drawing/2014/main" id="{00000000-0008-0000-0D00-0000076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610225" y="2419350"/>
          <a:ext cx="904875" cy="342900"/>
        </a:xfrm>
        <a:prstGeom prst="rect">
          <a:avLst/>
        </a:prstGeom>
        <a:noFill/>
        <a:ln w="9525">
          <a:noFill/>
          <a:miter lim="800000"/>
          <a:headEnd/>
          <a:tailEnd/>
        </a:ln>
      </xdr:spPr>
    </xdr:pic>
    <xdr:clientData/>
  </xdr:twoCellAnchor>
  <xdr:twoCellAnchor>
    <xdr:from>
      <xdr:col>2</xdr:col>
      <xdr:colOff>838200</xdr:colOff>
      <xdr:row>8</xdr:row>
      <xdr:rowOff>38100</xdr:rowOff>
    </xdr:from>
    <xdr:to>
      <xdr:col>2</xdr:col>
      <xdr:colOff>1743075</xdr:colOff>
      <xdr:row>8</xdr:row>
      <xdr:rowOff>381000</xdr:rowOff>
    </xdr:to>
    <xdr:pic macro="[0]!Sheet14.prev_sheet">
      <xdr:nvPicPr>
        <xdr:cNvPr id="24584" name="Picture 7">
          <a:extLst>
            <a:ext uri="{FF2B5EF4-FFF2-40B4-BE49-F238E27FC236}">
              <a16:creationId xmlns="" xmlns:a16="http://schemas.microsoft.com/office/drawing/2014/main" id="{00000000-0008-0000-0D00-0000086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514850" y="2419350"/>
          <a:ext cx="904875" cy="342900"/>
        </a:xfrm>
        <a:prstGeom prst="rect">
          <a:avLst/>
        </a:prstGeom>
        <a:noFill/>
        <a:ln w="9525">
          <a:noFill/>
          <a:miter lim="800000"/>
          <a:headEnd/>
          <a:tailEnd/>
        </a:ln>
      </xdr:spPr>
    </xdr:pic>
    <xdr:clientData/>
  </xdr:twoCellAnchor>
  <xdr:twoCellAnchor>
    <xdr:from>
      <xdr:col>3</xdr:col>
      <xdr:colOff>95250</xdr:colOff>
      <xdr:row>7</xdr:row>
      <xdr:rowOff>85725</xdr:rowOff>
    </xdr:from>
    <xdr:to>
      <xdr:col>3</xdr:col>
      <xdr:colOff>1000125</xdr:colOff>
      <xdr:row>7</xdr:row>
      <xdr:rowOff>428625</xdr:rowOff>
    </xdr:to>
    <xdr:pic macro="[0]!Sch6_InputTaxPurchDtlsORList">
      <xdr:nvPicPr>
        <xdr:cNvPr id="24585" name="Picture 9">
          <a:extLst>
            <a:ext uri="{FF2B5EF4-FFF2-40B4-BE49-F238E27FC236}">
              <a16:creationId xmlns="" xmlns:a16="http://schemas.microsoft.com/office/drawing/2014/main" id="{00000000-0008-0000-0D00-0000096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610225" y="1990725"/>
          <a:ext cx="904875" cy="342900"/>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838200</xdr:colOff>
      <xdr:row>7</xdr:row>
      <xdr:rowOff>85725</xdr:rowOff>
    </xdr:from>
    <xdr:to>
      <xdr:col>2</xdr:col>
      <xdr:colOff>1743075</xdr:colOff>
      <xdr:row>7</xdr:row>
      <xdr:rowOff>428625</xdr:rowOff>
    </xdr:to>
    <xdr:pic macro="[0]!Sheet15.addRow_Sch7PurchsDtls">
      <xdr:nvPicPr>
        <xdr:cNvPr id="25606" name="Picture 5">
          <a:extLst>
            <a:ext uri="{FF2B5EF4-FFF2-40B4-BE49-F238E27FC236}">
              <a16:creationId xmlns="" xmlns:a16="http://schemas.microsoft.com/office/drawing/2014/main" id="{00000000-0008-0000-0E00-0000066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514850" y="1933575"/>
          <a:ext cx="904875" cy="342900"/>
        </a:xfrm>
        <a:prstGeom prst="rect">
          <a:avLst/>
        </a:prstGeom>
        <a:noFill/>
        <a:ln w="9525">
          <a:noFill/>
          <a:miter lim="800000"/>
          <a:headEnd/>
          <a:tailEnd/>
        </a:ln>
      </xdr:spPr>
    </xdr:pic>
    <xdr:clientData/>
  </xdr:twoCellAnchor>
  <xdr:twoCellAnchor>
    <xdr:from>
      <xdr:col>3</xdr:col>
      <xdr:colOff>95250</xdr:colOff>
      <xdr:row>8</xdr:row>
      <xdr:rowOff>38100</xdr:rowOff>
    </xdr:from>
    <xdr:to>
      <xdr:col>3</xdr:col>
      <xdr:colOff>1000125</xdr:colOff>
      <xdr:row>8</xdr:row>
      <xdr:rowOff>381000</xdr:rowOff>
    </xdr:to>
    <xdr:pic macro="[0]!Sheet15.next_sheet">
      <xdr:nvPicPr>
        <xdr:cNvPr id="25607" name="Picture 6">
          <a:extLst>
            <a:ext uri="{FF2B5EF4-FFF2-40B4-BE49-F238E27FC236}">
              <a16:creationId xmlns="" xmlns:a16="http://schemas.microsoft.com/office/drawing/2014/main" id="{00000000-0008-0000-0E00-0000076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610225" y="2362200"/>
          <a:ext cx="904875" cy="342900"/>
        </a:xfrm>
        <a:prstGeom prst="rect">
          <a:avLst/>
        </a:prstGeom>
        <a:noFill/>
        <a:ln w="9525">
          <a:noFill/>
          <a:miter lim="800000"/>
          <a:headEnd/>
          <a:tailEnd/>
        </a:ln>
      </xdr:spPr>
    </xdr:pic>
    <xdr:clientData/>
  </xdr:twoCellAnchor>
  <xdr:twoCellAnchor>
    <xdr:from>
      <xdr:col>2</xdr:col>
      <xdr:colOff>838200</xdr:colOff>
      <xdr:row>8</xdr:row>
      <xdr:rowOff>38100</xdr:rowOff>
    </xdr:from>
    <xdr:to>
      <xdr:col>2</xdr:col>
      <xdr:colOff>1743075</xdr:colOff>
      <xdr:row>8</xdr:row>
      <xdr:rowOff>381000</xdr:rowOff>
    </xdr:to>
    <xdr:pic macro="[0]!Sheet15.prev_sheet">
      <xdr:nvPicPr>
        <xdr:cNvPr id="25608" name="Picture 7">
          <a:extLst>
            <a:ext uri="{FF2B5EF4-FFF2-40B4-BE49-F238E27FC236}">
              <a16:creationId xmlns="" xmlns:a16="http://schemas.microsoft.com/office/drawing/2014/main" id="{00000000-0008-0000-0E00-0000086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514850" y="2362200"/>
          <a:ext cx="904875" cy="342900"/>
        </a:xfrm>
        <a:prstGeom prst="rect">
          <a:avLst/>
        </a:prstGeom>
        <a:noFill/>
        <a:ln w="9525">
          <a:noFill/>
          <a:miter lim="800000"/>
          <a:headEnd/>
          <a:tailEnd/>
        </a:ln>
      </xdr:spPr>
    </xdr:pic>
    <xdr:clientData/>
  </xdr:twoCellAnchor>
  <xdr:twoCellAnchor>
    <xdr:from>
      <xdr:col>3</xdr:col>
      <xdr:colOff>95250</xdr:colOff>
      <xdr:row>7</xdr:row>
      <xdr:rowOff>85725</xdr:rowOff>
    </xdr:from>
    <xdr:to>
      <xdr:col>3</xdr:col>
      <xdr:colOff>1000125</xdr:colOff>
      <xdr:row>7</xdr:row>
      <xdr:rowOff>438150</xdr:rowOff>
    </xdr:to>
    <xdr:pic macro="[0]!Sch7_InputTaxPurchDtlsExemptList">
      <xdr:nvPicPr>
        <xdr:cNvPr id="25609" name="Picture 9">
          <a:extLst>
            <a:ext uri="{FF2B5EF4-FFF2-40B4-BE49-F238E27FC236}">
              <a16:creationId xmlns="" xmlns:a16="http://schemas.microsoft.com/office/drawing/2014/main" id="{00000000-0008-0000-0E00-00000964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610225" y="1933575"/>
          <a:ext cx="904875" cy="352425"/>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838200</xdr:colOff>
      <xdr:row>8</xdr:row>
      <xdr:rowOff>85725</xdr:rowOff>
    </xdr:from>
    <xdr:to>
      <xdr:col>2</xdr:col>
      <xdr:colOff>1743075</xdr:colOff>
      <xdr:row>8</xdr:row>
      <xdr:rowOff>428625</xdr:rowOff>
    </xdr:to>
    <xdr:pic macro="[0]!Sheet18.addRow_Sch8VATExempt">
      <xdr:nvPicPr>
        <xdr:cNvPr id="26630" name="Picture 5">
          <a:extLst>
            <a:ext uri="{FF2B5EF4-FFF2-40B4-BE49-F238E27FC236}">
              <a16:creationId xmlns="" xmlns:a16="http://schemas.microsoft.com/office/drawing/2014/main" id="{00000000-0008-0000-1000-0000066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514850" y="2143125"/>
          <a:ext cx="904875" cy="342900"/>
        </a:xfrm>
        <a:prstGeom prst="rect">
          <a:avLst/>
        </a:prstGeom>
        <a:noFill/>
        <a:ln w="9525">
          <a:noFill/>
          <a:miter lim="800000"/>
          <a:headEnd/>
          <a:tailEnd/>
        </a:ln>
      </xdr:spPr>
    </xdr:pic>
    <xdr:clientData/>
  </xdr:twoCellAnchor>
  <xdr:twoCellAnchor>
    <xdr:from>
      <xdr:col>3</xdr:col>
      <xdr:colOff>95250</xdr:colOff>
      <xdr:row>9</xdr:row>
      <xdr:rowOff>38100</xdr:rowOff>
    </xdr:from>
    <xdr:to>
      <xdr:col>3</xdr:col>
      <xdr:colOff>1000125</xdr:colOff>
      <xdr:row>9</xdr:row>
      <xdr:rowOff>381000</xdr:rowOff>
    </xdr:to>
    <xdr:pic macro="[0]!Sheet18.next_sheet">
      <xdr:nvPicPr>
        <xdr:cNvPr id="26631" name="Picture 6">
          <a:extLst>
            <a:ext uri="{FF2B5EF4-FFF2-40B4-BE49-F238E27FC236}">
              <a16:creationId xmlns="" xmlns:a16="http://schemas.microsoft.com/office/drawing/2014/main" id="{00000000-0008-0000-1000-0000076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610225" y="2571750"/>
          <a:ext cx="904875" cy="342900"/>
        </a:xfrm>
        <a:prstGeom prst="rect">
          <a:avLst/>
        </a:prstGeom>
        <a:noFill/>
        <a:ln w="9525">
          <a:noFill/>
          <a:miter lim="800000"/>
          <a:headEnd/>
          <a:tailEnd/>
        </a:ln>
      </xdr:spPr>
    </xdr:pic>
    <xdr:clientData/>
  </xdr:twoCellAnchor>
  <xdr:twoCellAnchor>
    <xdr:from>
      <xdr:col>2</xdr:col>
      <xdr:colOff>838200</xdr:colOff>
      <xdr:row>9</xdr:row>
      <xdr:rowOff>38100</xdr:rowOff>
    </xdr:from>
    <xdr:to>
      <xdr:col>2</xdr:col>
      <xdr:colOff>1743075</xdr:colOff>
      <xdr:row>9</xdr:row>
      <xdr:rowOff>381000</xdr:rowOff>
    </xdr:to>
    <xdr:pic macro="[0]!Sheet18.prev_sheet">
      <xdr:nvPicPr>
        <xdr:cNvPr id="26632" name="Picture 7">
          <a:extLst>
            <a:ext uri="{FF2B5EF4-FFF2-40B4-BE49-F238E27FC236}">
              <a16:creationId xmlns="" xmlns:a16="http://schemas.microsoft.com/office/drawing/2014/main" id="{00000000-0008-0000-1000-00000868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514850" y="2571750"/>
          <a:ext cx="904875" cy="342900"/>
        </a:xfrm>
        <a:prstGeom prst="rect">
          <a:avLst/>
        </a:prstGeom>
        <a:noFill/>
        <a:ln w="9525">
          <a:noFill/>
          <a:miter lim="800000"/>
          <a:headEnd/>
          <a:tailEnd/>
        </a:ln>
      </xdr:spPr>
    </xdr:pic>
    <xdr:clientData/>
  </xdr:twoCellAnchor>
  <xdr:twoCellAnchor>
    <xdr:from>
      <xdr:col>3</xdr:col>
      <xdr:colOff>95250</xdr:colOff>
      <xdr:row>8</xdr:row>
      <xdr:rowOff>85725</xdr:rowOff>
    </xdr:from>
    <xdr:to>
      <xdr:col>3</xdr:col>
      <xdr:colOff>1000125</xdr:colOff>
      <xdr:row>8</xdr:row>
      <xdr:rowOff>428625</xdr:rowOff>
    </xdr:to>
    <xdr:pic macro="[0]!Sch8_InputTaxPurchDtlsExemptList">
      <xdr:nvPicPr>
        <xdr:cNvPr id="26633" name="Picture 9">
          <a:extLst>
            <a:ext uri="{FF2B5EF4-FFF2-40B4-BE49-F238E27FC236}">
              <a16:creationId xmlns="" xmlns:a16="http://schemas.microsoft.com/office/drawing/2014/main" id="{00000000-0008-0000-1000-00000968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610225" y="2143125"/>
          <a:ext cx="904875" cy="342900"/>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838200</xdr:colOff>
      <xdr:row>5</xdr:row>
      <xdr:rowOff>85725</xdr:rowOff>
    </xdr:from>
    <xdr:to>
      <xdr:col>2</xdr:col>
      <xdr:colOff>1743075</xdr:colOff>
      <xdr:row>5</xdr:row>
      <xdr:rowOff>428625</xdr:rowOff>
    </xdr:to>
    <xdr:pic macro="[0]!Sheet21.addRow_Sch10VatClaimble">
      <xdr:nvPicPr>
        <xdr:cNvPr id="27653" name="Picture 5">
          <a:extLst>
            <a:ext uri="{FF2B5EF4-FFF2-40B4-BE49-F238E27FC236}">
              <a16:creationId xmlns="" xmlns:a16="http://schemas.microsoft.com/office/drawing/2014/main" id="{00000000-0008-0000-1100-0000056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514850" y="1533525"/>
          <a:ext cx="904875" cy="342900"/>
        </a:xfrm>
        <a:prstGeom prst="rect">
          <a:avLst/>
        </a:prstGeom>
        <a:noFill/>
        <a:ln w="9525">
          <a:noFill/>
          <a:miter lim="800000"/>
          <a:headEnd/>
          <a:tailEnd/>
        </a:ln>
      </xdr:spPr>
    </xdr:pic>
    <xdr:clientData/>
  </xdr:twoCellAnchor>
  <xdr:twoCellAnchor>
    <xdr:from>
      <xdr:col>3</xdr:col>
      <xdr:colOff>95250</xdr:colOff>
      <xdr:row>6</xdr:row>
      <xdr:rowOff>38100</xdr:rowOff>
    </xdr:from>
    <xdr:to>
      <xdr:col>3</xdr:col>
      <xdr:colOff>1000125</xdr:colOff>
      <xdr:row>6</xdr:row>
      <xdr:rowOff>381000</xdr:rowOff>
    </xdr:to>
    <xdr:pic macro="[0]!Sheet21.next_sheet">
      <xdr:nvPicPr>
        <xdr:cNvPr id="27654" name="Picture 6">
          <a:extLst>
            <a:ext uri="{FF2B5EF4-FFF2-40B4-BE49-F238E27FC236}">
              <a16:creationId xmlns="" xmlns:a16="http://schemas.microsoft.com/office/drawing/2014/main" id="{00000000-0008-0000-1100-0000066C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610225" y="1962150"/>
          <a:ext cx="904875" cy="342900"/>
        </a:xfrm>
        <a:prstGeom prst="rect">
          <a:avLst/>
        </a:prstGeom>
        <a:noFill/>
        <a:ln w="9525">
          <a:noFill/>
          <a:miter lim="800000"/>
          <a:headEnd/>
          <a:tailEnd/>
        </a:ln>
      </xdr:spPr>
    </xdr:pic>
    <xdr:clientData/>
  </xdr:twoCellAnchor>
  <xdr:twoCellAnchor>
    <xdr:from>
      <xdr:col>2</xdr:col>
      <xdr:colOff>838200</xdr:colOff>
      <xdr:row>6</xdr:row>
      <xdr:rowOff>38100</xdr:rowOff>
    </xdr:from>
    <xdr:to>
      <xdr:col>2</xdr:col>
      <xdr:colOff>1743075</xdr:colOff>
      <xdr:row>6</xdr:row>
      <xdr:rowOff>381000</xdr:rowOff>
    </xdr:to>
    <xdr:pic macro="[0]!Sheet21.prev_sheet">
      <xdr:nvPicPr>
        <xdr:cNvPr id="27655" name="Picture 7">
          <a:extLst>
            <a:ext uri="{FF2B5EF4-FFF2-40B4-BE49-F238E27FC236}">
              <a16:creationId xmlns="" xmlns:a16="http://schemas.microsoft.com/office/drawing/2014/main" id="{00000000-0008-0000-1100-0000076C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514850" y="1962150"/>
          <a:ext cx="904875" cy="342900"/>
        </a:xfrm>
        <a:prstGeom prst="rect">
          <a:avLst/>
        </a:prstGeom>
        <a:noFill/>
        <a:ln w="9525">
          <a:noFill/>
          <a:miter lim="800000"/>
          <a:headEnd/>
          <a:tailEnd/>
        </a:ln>
      </xdr:spPr>
    </xdr:pic>
    <xdr:clientData/>
  </xdr:twoCellAnchor>
  <xdr:twoCellAnchor>
    <xdr:from>
      <xdr:col>3</xdr:col>
      <xdr:colOff>95250</xdr:colOff>
      <xdr:row>5</xdr:row>
      <xdr:rowOff>85725</xdr:rowOff>
    </xdr:from>
    <xdr:to>
      <xdr:col>3</xdr:col>
      <xdr:colOff>1000125</xdr:colOff>
      <xdr:row>5</xdr:row>
      <xdr:rowOff>428625</xdr:rowOff>
    </xdr:to>
    <xdr:pic macro="[0]!Sch10_ClaimableServiceImportedList">
      <xdr:nvPicPr>
        <xdr:cNvPr id="27656" name="Picture 9">
          <a:extLst>
            <a:ext uri="{FF2B5EF4-FFF2-40B4-BE49-F238E27FC236}">
              <a16:creationId xmlns="" xmlns:a16="http://schemas.microsoft.com/office/drawing/2014/main" id="{00000000-0008-0000-1100-0000086C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610225" y="1533525"/>
          <a:ext cx="904875" cy="342900"/>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1800225</xdr:colOff>
      <xdr:row>21</xdr:row>
      <xdr:rowOff>142875</xdr:rowOff>
    </xdr:from>
    <xdr:to>
      <xdr:col>1</xdr:col>
      <xdr:colOff>866775</xdr:colOff>
      <xdr:row>30</xdr:row>
      <xdr:rowOff>9525</xdr:rowOff>
    </xdr:to>
    <xdr:pic macro="[0]!Sheet20.addRow_Sch10VATCrAdjVoucherDetails">
      <xdr:nvPicPr>
        <xdr:cNvPr id="28682" name="Picture 5">
          <a:extLst>
            <a:ext uri="{FF2B5EF4-FFF2-40B4-BE49-F238E27FC236}">
              <a16:creationId xmlns="" xmlns:a16="http://schemas.microsoft.com/office/drawing/2014/main" id="{00000000-0008-0000-1200-00000A7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00225" y="5915025"/>
          <a:ext cx="904875" cy="342900"/>
        </a:xfrm>
        <a:prstGeom prst="rect">
          <a:avLst/>
        </a:prstGeom>
        <a:noFill/>
        <a:ln w="9525">
          <a:noFill/>
          <a:miter lim="800000"/>
          <a:headEnd/>
          <a:tailEnd/>
        </a:ln>
      </xdr:spPr>
    </xdr:pic>
    <xdr:clientData/>
  </xdr:twoCellAnchor>
  <xdr:twoCellAnchor>
    <xdr:from>
      <xdr:col>1</xdr:col>
      <xdr:colOff>1047750</xdr:colOff>
      <xdr:row>30</xdr:row>
      <xdr:rowOff>123825</xdr:rowOff>
    </xdr:from>
    <xdr:to>
      <xdr:col>2</xdr:col>
      <xdr:colOff>123825</xdr:colOff>
      <xdr:row>32</xdr:row>
      <xdr:rowOff>104775</xdr:rowOff>
    </xdr:to>
    <xdr:pic macro="[0]!Sheet20.next_sheet">
      <xdr:nvPicPr>
        <xdr:cNvPr id="28683" name="Picture 6">
          <a:extLst>
            <a:ext uri="{FF2B5EF4-FFF2-40B4-BE49-F238E27FC236}">
              <a16:creationId xmlns="" xmlns:a16="http://schemas.microsoft.com/office/drawing/2014/main" id="{00000000-0008-0000-1200-00000B7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86075" y="6372225"/>
          <a:ext cx="914400" cy="361950"/>
        </a:xfrm>
        <a:prstGeom prst="rect">
          <a:avLst/>
        </a:prstGeom>
        <a:noFill/>
        <a:ln w="9525">
          <a:noFill/>
          <a:miter lim="800000"/>
          <a:headEnd/>
          <a:tailEnd/>
        </a:ln>
      </xdr:spPr>
    </xdr:pic>
    <xdr:clientData/>
  </xdr:twoCellAnchor>
  <xdr:twoCellAnchor>
    <xdr:from>
      <xdr:col>0</xdr:col>
      <xdr:colOff>1800225</xdr:colOff>
      <xdr:row>30</xdr:row>
      <xdr:rowOff>123825</xdr:rowOff>
    </xdr:from>
    <xdr:to>
      <xdr:col>1</xdr:col>
      <xdr:colOff>866775</xdr:colOff>
      <xdr:row>32</xdr:row>
      <xdr:rowOff>104775</xdr:rowOff>
    </xdr:to>
    <xdr:pic macro="[0]!Sheet20.prev_sheet">
      <xdr:nvPicPr>
        <xdr:cNvPr id="28684" name="Picture 7">
          <a:extLst>
            <a:ext uri="{FF2B5EF4-FFF2-40B4-BE49-F238E27FC236}">
              <a16:creationId xmlns="" xmlns:a16="http://schemas.microsoft.com/office/drawing/2014/main" id="{00000000-0008-0000-1200-00000C7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800225" y="6372225"/>
          <a:ext cx="904875" cy="361950"/>
        </a:xfrm>
        <a:prstGeom prst="rect">
          <a:avLst/>
        </a:prstGeom>
        <a:noFill/>
        <a:ln w="9525">
          <a:noFill/>
          <a:miter lim="800000"/>
          <a:headEnd/>
          <a:tailEnd/>
        </a:ln>
      </xdr:spPr>
    </xdr:pic>
    <xdr:clientData/>
  </xdr:twoCellAnchor>
  <xdr:twoCellAnchor>
    <xdr:from>
      <xdr:col>1</xdr:col>
      <xdr:colOff>1047750</xdr:colOff>
      <xdr:row>21</xdr:row>
      <xdr:rowOff>142875</xdr:rowOff>
    </xdr:from>
    <xdr:to>
      <xdr:col>2</xdr:col>
      <xdr:colOff>123825</xdr:colOff>
      <xdr:row>30</xdr:row>
      <xdr:rowOff>38100</xdr:rowOff>
    </xdr:to>
    <xdr:pic macro="[0]!Sch10_VATCrAdjVoucherDtlsList">
      <xdr:nvPicPr>
        <xdr:cNvPr id="28685" name="Picture 11">
          <a:extLst>
            <a:ext uri="{FF2B5EF4-FFF2-40B4-BE49-F238E27FC236}">
              <a16:creationId xmlns="" xmlns:a16="http://schemas.microsoft.com/office/drawing/2014/main" id="{00000000-0008-0000-1200-00000D7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2886075" y="5915025"/>
          <a:ext cx="914400" cy="371475"/>
        </a:xfrm>
        <a:prstGeom prst="rect">
          <a:avLst/>
        </a:prstGeom>
        <a:noFill/>
        <a:ln w="9525">
          <a:noFill/>
          <a:miter lim="800000"/>
          <a:headEnd/>
          <a:tailEnd/>
        </a:ln>
      </xdr:spPr>
    </xdr:pic>
    <xdr:clientData/>
  </xdr:twoCellAnchor>
  <xdr:twoCellAnchor>
    <xdr:from>
      <xdr:col>1</xdr:col>
      <xdr:colOff>47625</xdr:colOff>
      <xdr:row>6</xdr:row>
      <xdr:rowOff>85725</xdr:rowOff>
    </xdr:from>
    <xdr:to>
      <xdr:col>2</xdr:col>
      <xdr:colOff>209550</xdr:colOff>
      <xdr:row>6</xdr:row>
      <xdr:rowOff>447675</xdr:rowOff>
    </xdr:to>
    <xdr:grpSp>
      <xdr:nvGrpSpPr>
        <xdr:cNvPr id="28686" name="Group 1">
          <a:extLst>
            <a:ext uri="{FF2B5EF4-FFF2-40B4-BE49-F238E27FC236}">
              <a16:creationId xmlns="" xmlns:a16="http://schemas.microsoft.com/office/drawing/2014/main" id="{00000000-0008-0000-1200-00000E700000}"/>
            </a:ext>
          </a:extLst>
        </xdr:cNvPr>
        <xdr:cNvGrpSpPr>
          <a:grpSpLocks/>
        </xdr:cNvGrpSpPr>
      </xdr:nvGrpSpPr>
      <xdr:grpSpPr bwMode="auto">
        <a:xfrm>
          <a:off x="1971675" y="1749425"/>
          <a:ext cx="2085975" cy="361950"/>
          <a:chOff x="1895475" y="1752600"/>
          <a:chExt cx="2009775" cy="352425"/>
        </a:xfrm>
      </xdr:grpSpPr>
      <xdr:pic macro="[0]!Sheet20.addRow_Sch10VATDetails">
        <xdr:nvPicPr>
          <xdr:cNvPr id="28689" name="Picture 5">
            <a:extLst>
              <a:ext uri="{FF2B5EF4-FFF2-40B4-BE49-F238E27FC236}">
                <a16:creationId xmlns="" xmlns:a16="http://schemas.microsoft.com/office/drawing/2014/main" id="{00000000-0008-0000-1200-0000117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95475" y="1752600"/>
            <a:ext cx="914400" cy="352425"/>
          </a:xfrm>
          <a:prstGeom prst="rect">
            <a:avLst/>
          </a:prstGeom>
          <a:noFill/>
          <a:ln w="9525">
            <a:noFill/>
            <a:miter lim="800000"/>
            <a:headEnd/>
            <a:tailEnd/>
          </a:ln>
        </xdr:spPr>
      </xdr:pic>
      <xdr:pic macro="[0]!Sch10_VATPaidDtlsList">
        <xdr:nvPicPr>
          <xdr:cNvPr id="28690" name="Picture 12">
            <a:extLst>
              <a:ext uri="{FF2B5EF4-FFF2-40B4-BE49-F238E27FC236}">
                <a16:creationId xmlns="" xmlns:a16="http://schemas.microsoft.com/office/drawing/2014/main" id="{00000000-0008-0000-1200-0000127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2990850" y="1762125"/>
            <a:ext cx="914400" cy="342900"/>
          </a:xfrm>
          <a:prstGeom prst="rect">
            <a:avLst/>
          </a:prstGeom>
          <a:noFill/>
          <a:ln w="9525">
            <a:noFill/>
            <a:miter lim="800000"/>
            <a:headEnd/>
            <a:tailEnd/>
          </a:ln>
        </xdr:spPr>
      </xdr:pic>
    </xdr:grpSp>
    <xdr:clientData/>
  </xdr:twoCellAnchor>
  <xdr:twoCellAnchor>
    <xdr:from>
      <xdr:col>1</xdr:col>
      <xdr:colOff>0</xdr:colOff>
      <xdr:row>13</xdr:row>
      <xdr:rowOff>104775</xdr:rowOff>
    </xdr:from>
    <xdr:to>
      <xdr:col>1</xdr:col>
      <xdr:colOff>904875</xdr:colOff>
      <xdr:row>15</xdr:row>
      <xdr:rowOff>76200</xdr:rowOff>
    </xdr:to>
    <xdr:pic macro="[0]!Sheet20.addRow_Sch10VATSelfAssDetails">
      <xdr:nvPicPr>
        <xdr:cNvPr id="28687" name="Picture 5" descr="ADD1.png">
          <a:extLst>
            <a:ext uri="{FF2B5EF4-FFF2-40B4-BE49-F238E27FC236}">
              <a16:creationId xmlns="" xmlns:a16="http://schemas.microsoft.com/office/drawing/2014/main" id="{00000000-0008-0000-1200-00000F700000}"/>
            </a:ext>
          </a:extLst>
        </xdr:cNvPr>
        <xdr:cNvPicPr>
          <a:picLocks noChangeAspect="1"/>
        </xdr:cNvPicPr>
      </xdr:nvPicPr>
      <xdr:blipFill>
        <a:blip xmlns:r="http://schemas.openxmlformats.org/officeDocument/2006/relationships" r:embed="rId1" cstate="print"/>
        <a:srcRect/>
        <a:stretch>
          <a:fillRect/>
        </a:stretch>
      </xdr:blipFill>
      <xdr:spPr bwMode="auto">
        <a:xfrm>
          <a:off x="1838325" y="3819525"/>
          <a:ext cx="904875" cy="371475"/>
        </a:xfrm>
        <a:prstGeom prst="rect">
          <a:avLst/>
        </a:prstGeom>
        <a:noFill/>
        <a:ln w="9525">
          <a:noFill/>
          <a:miter lim="800000"/>
          <a:headEnd/>
          <a:tailEnd/>
        </a:ln>
      </xdr:spPr>
    </xdr:pic>
    <xdr:clientData/>
  </xdr:twoCellAnchor>
  <xdr:twoCellAnchor>
    <xdr:from>
      <xdr:col>1</xdr:col>
      <xdr:colOff>1095375</xdr:colOff>
      <xdr:row>13</xdr:row>
      <xdr:rowOff>114300</xdr:rowOff>
    </xdr:from>
    <xdr:to>
      <xdr:col>2</xdr:col>
      <xdr:colOff>161925</xdr:colOff>
      <xdr:row>15</xdr:row>
      <xdr:rowOff>104775</xdr:rowOff>
    </xdr:to>
    <xdr:pic macro="[0]!Sch10_VATSelfAssPaidDtlsList">
      <xdr:nvPicPr>
        <xdr:cNvPr id="28688" name="Picture 10">
          <a:extLst>
            <a:ext uri="{FF2B5EF4-FFF2-40B4-BE49-F238E27FC236}">
              <a16:creationId xmlns="" xmlns:a16="http://schemas.microsoft.com/office/drawing/2014/main" id="{00000000-0008-0000-1200-000010700000}"/>
            </a:ext>
          </a:extLst>
        </xdr:cNvPr>
        <xdr:cNvPicPr>
          <a:picLocks noChangeAspect="1"/>
        </xdr:cNvPicPr>
      </xdr:nvPicPr>
      <xdr:blipFill>
        <a:blip xmlns:r="http://schemas.openxmlformats.org/officeDocument/2006/relationships" r:embed="rId4" cstate="print"/>
        <a:srcRect/>
        <a:stretch>
          <a:fillRect/>
        </a:stretch>
      </xdr:blipFill>
      <xdr:spPr bwMode="auto">
        <a:xfrm>
          <a:off x="2933700" y="3829050"/>
          <a:ext cx="904875" cy="390525"/>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2</xdr:col>
      <xdr:colOff>1038225</xdr:colOff>
      <xdr:row>5</xdr:row>
      <xdr:rowOff>76200</xdr:rowOff>
    </xdr:from>
    <xdr:to>
      <xdr:col>3</xdr:col>
      <xdr:colOff>104775</xdr:colOff>
      <xdr:row>5</xdr:row>
      <xdr:rowOff>419100</xdr:rowOff>
    </xdr:to>
    <xdr:pic macro="[0]!Sheet36.addRow_WithHolding_List">
      <xdr:nvPicPr>
        <xdr:cNvPr id="29700" name="Picture 5" descr="ADD1.png">
          <a:extLst>
            <a:ext uri="{FF2B5EF4-FFF2-40B4-BE49-F238E27FC236}">
              <a16:creationId xmlns="" xmlns:a16="http://schemas.microsoft.com/office/drawing/2014/main" id="{00000000-0008-0000-1300-000004740000}"/>
            </a:ext>
          </a:extLst>
        </xdr:cNvPr>
        <xdr:cNvPicPr>
          <a:picLocks/>
        </xdr:cNvPicPr>
      </xdr:nvPicPr>
      <xdr:blipFill>
        <a:blip xmlns:r="http://schemas.openxmlformats.org/officeDocument/2006/relationships" r:embed="rId1" cstate="print"/>
        <a:srcRect/>
        <a:stretch>
          <a:fillRect/>
        </a:stretch>
      </xdr:blipFill>
      <xdr:spPr bwMode="auto">
        <a:xfrm>
          <a:off x="4714875" y="1514475"/>
          <a:ext cx="904875" cy="342900"/>
        </a:xfrm>
        <a:prstGeom prst="rect">
          <a:avLst/>
        </a:prstGeom>
        <a:noFill/>
        <a:ln w="9525">
          <a:noFill/>
          <a:miter lim="800000"/>
          <a:headEnd/>
          <a:tailEnd/>
        </a:ln>
      </xdr:spPr>
    </xdr:pic>
    <xdr:clientData/>
  </xdr:twoCellAnchor>
  <xdr:twoCellAnchor editAs="oneCell">
    <xdr:from>
      <xdr:col>2</xdr:col>
      <xdr:colOff>1028700</xdr:colOff>
      <xdr:row>6</xdr:row>
      <xdr:rowOff>76200</xdr:rowOff>
    </xdr:from>
    <xdr:to>
      <xdr:col>3</xdr:col>
      <xdr:colOff>95250</xdr:colOff>
      <xdr:row>7</xdr:row>
      <xdr:rowOff>28575</xdr:rowOff>
    </xdr:to>
    <xdr:pic macro="[0]!findNext_sheet">
      <xdr:nvPicPr>
        <xdr:cNvPr id="29701" name="Picture 6" descr="Next1.png">
          <a:extLst>
            <a:ext uri="{FF2B5EF4-FFF2-40B4-BE49-F238E27FC236}">
              <a16:creationId xmlns="" xmlns:a16="http://schemas.microsoft.com/office/drawing/2014/main" id="{00000000-0008-0000-1300-000005740000}"/>
            </a:ext>
          </a:extLst>
        </xdr:cNvPr>
        <xdr:cNvPicPr>
          <a:picLocks/>
        </xdr:cNvPicPr>
      </xdr:nvPicPr>
      <xdr:blipFill>
        <a:blip xmlns:r="http://schemas.openxmlformats.org/officeDocument/2006/relationships" r:embed="rId2" cstate="print"/>
        <a:srcRect/>
        <a:stretch>
          <a:fillRect/>
        </a:stretch>
      </xdr:blipFill>
      <xdr:spPr bwMode="auto">
        <a:xfrm>
          <a:off x="4705350" y="1990725"/>
          <a:ext cx="904875" cy="342900"/>
        </a:xfrm>
        <a:prstGeom prst="rect">
          <a:avLst/>
        </a:prstGeom>
        <a:noFill/>
        <a:ln w="9525">
          <a:noFill/>
          <a:miter lim="800000"/>
          <a:headEnd/>
          <a:tailEnd/>
        </a:ln>
      </xdr:spPr>
    </xdr:pic>
    <xdr:clientData/>
  </xdr:twoCellAnchor>
  <xdr:twoCellAnchor editAs="oneCell">
    <xdr:from>
      <xdr:col>1</xdr:col>
      <xdr:colOff>1828800</xdr:colOff>
      <xdr:row>6</xdr:row>
      <xdr:rowOff>76200</xdr:rowOff>
    </xdr:from>
    <xdr:to>
      <xdr:col>2</xdr:col>
      <xdr:colOff>904875</xdr:colOff>
      <xdr:row>7</xdr:row>
      <xdr:rowOff>28575</xdr:rowOff>
    </xdr:to>
    <xdr:pic macro="[0]!findPrev_sheet">
      <xdr:nvPicPr>
        <xdr:cNvPr id="29702" name="Picture 7" descr="Prev1.png">
          <a:extLst>
            <a:ext uri="{FF2B5EF4-FFF2-40B4-BE49-F238E27FC236}">
              <a16:creationId xmlns="" xmlns:a16="http://schemas.microsoft.com/office/drawing/2014/main" id="{00000000-0008-0000-1300-000006740000}"/>
            </a:ext>
          </a:extLst>
        </xdr:cNvPr>
        <xdr:cNvPicPr>
          <a:picLocks/>
        </xdr:cNvPicPr>
      </xdr:nvPicPr>
      <xdr:blipFill>
        <a:blip xmlns:r="http://schemas.openxmlformats.org/officeDocument/2006/relationships" r:embed="rId3" cstate="print"/>
        <a:srcRect/>
        <a:stretch>
          <a:fillRect/>
        </a:stretch>
      </xdr:blipFill>
      <xdr:spPr bwMode="auto">
        <a:xfrm>
          <a:off x="3667125" y="1990725"/>
          <a:ext cx="914400" cy="342900"/>
        </a:xfrm>
        <a:prstGeom prst="rect">
          <a:avLst/>
        </a:prstGeom>
        <a:noFill/>
        <a:ln w="9525">
          <a:noFill/>
          <a:miter lim="800000"/>
          <a:headEnd/>
          <a:tailEnd/>
        </a:ln>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5086350</xdr:colOff>
      <xdr:row>19</xdr:row>
      <xdr:rowOff>76200</xdr:rowOff>
    </xdr:from>
    <xdr:to>
      <xdr:col>2</xdr:col>
      <xdr:colOff>600075</xdr:colOff>
      <xdr:row>19</xdr:row>
      <xdr:rowOff>419100</xdr:rowOff>
    </xdr:to>
    <xdr:pic macro="[0]!Sheet7.next_sheet">
      <xdr:nvPicPr>
        <xdr:cNvPr id="30723" name="Picture 14">
          <a:extLst>
            <a:ext uri="{FF2B5EF4-FFF2-40B4-BE49-F238E27FC236}">
              <a16:creationId xmlns="" xmlns:a16="http://schemas.microsoft.com/office/drawing/2014/main" id="{00000000-0008-0000-1400-0000037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657850" y="6429375"/>
          <a:ext cx="885825" cy="342900"/>
        </a:xfrm>
        <a:prstGeom prst="rect">
          <a:avLst/>
        </a:prstGeom>
        <a:noFill/>
        <a:ln w="9525">
          <a:noFill/>
          <a:miter lim="800000"/>
          <a:headEnd/>
          <a:tailEnd/>
        </a:ln>
      </xdr:spPr>
    </xdr:pic>
    <xdr:clientData/>
  </xdr:twoCellAnchor>
  <xdr:twoCellAnchor>
    <xdr:from>
      <xdr:col>1</xdr:col>
      <xdr:colOff>4000500</xdr:colOff>
      <xdr:row>19</xdr:row>
      <xdr:rowOff>66675</xdr:rowOff>
    </xdr:from>
    <xdr:to>
      <xdr:col>1</xdr:col>
      <xdr:colOff>4914900</xdr:colOff>
      <xdr:row>19</xdr:row>
      <xdr:rowOff>409575</xdr:rowOff>
    </xdr:to>
    <xdr:pic macro="[0]!findPrev_sheet">
      <xdr:nvPicPr>
        <xdr:cNvPr id="30724" name="Picture 15">
          <a:extLst>
            <a:ext uri="{FF2B5EF4-FFF2-40B4-BE49-F238E27FC236}">
              <a16:creationId xmlns="" xmlns:a16="http://schemas.microsoft.com/office/drawing/2014/main" id="{00000000-0008-0000-1400-0000047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572000" y="6419850"/>
          <a:ext cx="914400" cy="342900"/>
        </a:xfrm>
        <a:prstGeom prst="rect">
          <a:avLst/>
        </a:prstGeom>
        <a:noFill/>
        <a:ln w="9525">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2400300</xdr:colOff>
      <xdr:row>19</xdr:row>
      <xdr:rowOff>66675</xdr:rowOff>
    </xdr:from>
    <xdr:to>
      <xdr:col>1</xdr:col>
      <xdr:colOff>3314700</xdr:colOff>
      <xdr:row>19</xdr:row>
      <xdr:rowOff>409575</xdr:rowOff>
    </xdr:to>
    <xdr:pic macro="[0]!Sheet8.prev_sheet">
      <xdr:nvPicPr>
        <xdr:cNvPr id="31747" name="Picture 15">
          <a:extLst>
            <a:ext uri="{FF2B5EF4-FFF2-40B4-BE49-F238E27FC236}">
              <a16:creationId xmlns="" xmlns:a16="http://schemas.microsoft.com/office/drawing/2014/main" id="{00000000-0008-0000-1500-0000037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71800" y="5457825"/>
          <a:ext cx="914400" cy="342900"/>
        </a:xfrm>
        <a:prstGeom prst="rect">
          <a:avLst/>
        </a:prstGeom>
        <a:noFill/>
        <a:ln w="9525">
          <a:noFill/>
          <a:miter lim="800000"/>
          <a:headEnd/>
          <a:tailEnd/>
        </a:ln>
      </xdr:spPr>
    </xdr:pic>
    <xdr:clientData/>
  </xdr:twoCellAnchor>
  <xdr:twoCellAnchor>
    <xdr:from>
      <xdr:col>1</xdr:col>
      <xdr:colOff>3438525</xdr:colOff>
      <xdr:row>19</xdr:row>
      <xdr:rowOff>47625</xdr:rowOff>
    </xdr:from>
    <xdr:to>
      <xdr:col>1</xdr:col>
      <xdr:colOff>4352925</xdr:colOff>
      <xdr:row>19</xdr:row>
      <xdr:rowOff>390525</xdr:rowOff>
    </xdr:to>
    <xdr:pic macro="[0]!createErrorSheet">
      <xdr:nvPicPr>
        <xdr:cNvPr id="31748" name="Picture 12">
          <a:extLst>
            <a:ext uri="{FF2B5EF4-FFF2-40B4-BE49-F238E27FC236}">
              <a16:creationId xmlns="" xmlns:a16="http://schemas.microsoft.com/office/drawing/2014/main" id="{00000000-0008-0000-1500-0000047C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010025" y="5438775"/>
          <a:ext cx="914400" cy="34290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Sheet1"/>
  <dimension ref="A1:C43"/>
  <sheetViews>
    <sheetView workbookViewId="0">
      <selection activeCell="C39" sqref="C39"/>
    </sheetView>
  </sheetViews>
  <sheetFormatPr defaultColWidth="0" defaultRowHeight="16.5" zeroHeight="1"/>
  <cols>
    <col min="1" max="2" width="12.140625" style="1" customWidth="1"/>
    <col min="3" max="3" width="115.5703125" style="1" customWidth="1"/>
    <col min="4" max="16384" width="0" style="1" hidden="1"/>
  </cols>
  <sheetData>
    <row r="1" spans="1:3">
      <c r="A1" s="2" t="s">
        <v>0</v>
      </c>
      <c r="B1" s="3"/>
      <c r="C1" s="4"/>
    </row>
    <row r="2" spans="1:3">
      <c r="A2" s="5"/>
      <c r="B2" s="6"/>
      <c r="C2" s="7"/>
    </row>
    <row r="3" spans="1:3">
      <c r="A3" s="8" t="s">
        <v>1</v>
      </c>
      <c r="C3" s="7"/>
    </row>
    <row r="4" spans="1:3">
      <c r="A4" s="9"/>
      <c r="B4" s="10" t="s">
        <v>2</v>
      </c>
      <c r="C4" s="11"/>
    </row>
    <row r="5" spans="1:3">
      <c r="A5" s="9"/>
      <c r="B5" s="12">
        <v>1</v>
      </c>
      <c r="C5" s="13" t="s">
        <v>3</v>
      </c>
    </row>
    <row r="6" spans="1:3">
      <c r="A6" s="9"/>
      <c r="B6" s="12">
        <v>2</v>
      </c>
      <c r="C6" s="13" t="s">
        <v>4</v>
      </c>
    </row>
    <row r="7" spans="1:3">
      <c r="A7" s="9"/>
      <c r="B7" s="12">
        <v>3</v>
      </c>
      <c r="C7" s="13" t="s">
        <v>5</v>
      </c>
    </row>
    <row r="8" spans="1:3">
      <c r="A8" s="9"/>
      <c r="B8" s="12">
        <v>4</v>
      </c>
      <c r="C8" s="13" t="s">
        <v>6</v>
      </c>
    </row>
    <row r="9" spans="1:3">
      <c r="A9" s="9"/>
      <c r="B9" s="10"/>
      <c r="C9" s="14"/>
    </row>
    <row r="10" spans="1:3">
      <c r="A10" s="8" t="s">
        <v>7</v>
      </c>
      <c r="B10" s="6"/>
      <c r="C10" s="7"/>
    </row>
    <row r="11" spans="1:3">
      <c r="A11" s="5"/>
      <c r="B11" s="6" t="s">
        <v>2</v>
      </c>
      <c r="C11" s="7"/>
    </row>
    <row r="12" spans="1:3">
      <c r="A12" s="5"/>
      <c r="B12" s="15">
        <v>1</v>
      </c>
      <c r="C12" s="16" t="s">
        <v>8</v>
      </c>
    </row>
    <row r="13" spans="1:3">
      <c r="A13" s="5"/>
      <c r="B13" s="15">
        <v>2</v>
      </c>
      <c r="C13" s="16" t="s">
        <v>4</v>
      </c>
    </row>
    <row r="14" spans="1:3">
      <c r="A14" s="5"/>
      <c r="B14" s="15">
        <v>3</v>
      </c>
      <c r="C14" s="16" t="s">
        <v>5</v>
      </c>
    </row>
    <row r="15" spans="1:3">
      <c r="A15" s="5"/>
      <c r="B15" s="15">
        <v>4</v>
      </c>
      <c r="C15" s="16" t="s">
        <v>6</v>
      </c>
    </row>
    <row r="16" spans="1:3">
      <c r="A16" s="5"/>
      <c r="B16" s="6"/>
      <c r="C16" s="7"/>
    </row>
    <row r="17" spans="1:3">
      <c r="A17" s="8" t="s">
        <v>9</v>
      </c>
      <c r="B17" s="6"/>
      <c r="C17" s="7"/>
    </row>
    <row r="18" spans="1:3">
      <c r="A18" s="5"/>
      <c r="B18" s="6" t="s">
        <v>2</v>
      </c>
      <c r="C18" s="7"/>
    </row>
    <row r="19" spans="1:3" ht="33">
      <c r="A19" s="5"/>
      <c r="B19" s="15">
        <v>1</v>
      </c>
      <c r="C19" s="16" t="s">
        <v>10</v>
      </c>
    </row>
    <row r="20" spans="1:3" ht="32.25">
      <c r="A20" s="5"/>
      <c r="B20" s="15">
        <v>2</v>
      </c>
      <c r="C20" s="16" t="s">
        <v>11</v>
      </c>
    </row>
    <row r="21" spans="1:3">
      <c r="A21" s="5"/>
      <c r="B21" s="15">
        <v>3</v>
      </c>
      <c r="C21" s="16" t="s">
        <v>6</v>
      </c>
    </row>
    <row r="22" spans="1:3">
      <c r="A22" s="5"/>
      <c r="B22" s="15">
        <v>4</v>
      </c>
      <c r="C22" s="16" t="s">
        <v>12</v>
      </c>
    </row>
    <row r="23" spans="1:3">
      <c r="A23" s="5"/>
      <c r="B23" s="6"/>
      <c r="C23" s="17"/>
    </row>
    <row r="24" spans="1:3">
      <c r="A24" s="5"/>
      <c r="B24" s="15"/>
      <c r="C24" s="16" t="s">
        <v>13</v>
      </c>
    </row>
    <row r="25" spans="1:3">
      <c r="A25" s="5"/>
      <c r="B25" s="18"/>
      <c r="C25" s="16" t="s">
        <v>14</v>
      </c>
    </row>
    <row r="26" spans="1:3">
      <c r="A26" s="5"/>
      <c r="B26" s="19"/>
      <c r="C26" s="16" t="s">
        <v>15</v>
      </c>
    </row>
    <row r="27" spans="1:3">
      <c r="A27" s="5"/>
      <c r="B27" s="6"/>
      <c r="C27" s="7"/>
    </row>
    <row r="28" spans="1:3">
      <c r="A28" s="5"/>
      <c r="B28" s="301" t="s">
        <v>16</v>
      </c>
      <c r="C28" s="301"/>
    </row>
    <row r="29" spans="1:3">
      <c r="A29" s="5"/>
      <c r="B29" s="6"/>
      <c r="C29" s="7"/>
    </row>
    <row r="30" spans="1:3" ht="16.5" customHeight="1">
      <c r="A30" s="302" t="s">
        <v>17</v>
      </c>
      <c r="B30" s="302"/>
      <c r="C30" s="302"/>
    </row>
    <row r="31" spans="1:3" ht="33" customHeight="1">
      <c r="A31" s="303" t="s">
        <v>18</v>
      </c>
      <c r="B31" s="303"/>
      <c r="C31" s="303"/>
    </row>
    <row r="32" spans="1:3">
      <c r="A32" s="20"/>
      <c r="B32" s="21"/>
      <c r="C32" s="21"/>
    </row>
    <row r="33" spans="1:3" ht="16.5" customHeight="1">
      <c r="A33" s="304" t="s">
        <v>19</v>
      </c>
      <c r="B33" s="304"/>
      <c r="C33" s="304"/>
    </row>
    <row r="34" spans="1:3">
      <c r="A34" s="20"/>
      <c r="B34" s="22" t="s">
        <v>20</v>
      </c>
      <c r="C34" s="21"/>
    </row>
    <row r="35" spans="1:3">
      <c r="A35" s="20"/>
      <c r="B35" s="23">
        <v>1</v>
      </c>
      <c r="C35" s="24" t="s">
        <v>21</v>
      </c>
    </row>
    <row r="36" spans="1:3">
      <c r="A36" s="20"/>
      <c r="B36" s="23">
        <v>2</v>
      </c>
      <c r="C36" s="24" t="s">
        <v>22</v>
      </c>
    </row>
    <row r="37" spans="1:3" ht="48">
      <c r="A37" s="20"/>
      <c r="B37" s="23">
        <v>3</v>
      </c>
      <c r="C37" s="25" t="s">
        <v>23</v>
      </c>
    </row>
    <row r="38" spans="1:3" ht="32.25">
      <c r="A38" s="20"/>
      <c r="B38" s="23">
        <v>4</v>
      </c>
      <c r="C38" s="25" t="s">
        <v>24</v>
      </c>
    </row>
    <row r="39" spans="1:3">
      <c r="A39" s="20"/>
      <c r="B39" s="258">
        <v>5</v>
      </c>
      <c r="C39" s="259" t="s">
        <v>25</v>
      </c>
    </row>
    <row r="40" spans="1:3">
      <c r="A40" s="20"/>
      <c r="B40" s="21"/>
      <c r="C40" s="21"/>
    </row>
    <row r="41" spans="1:3">
      <c r="A41" s="305"/>
      <c r="B41" s="305"/>
      <c r="C41" s="305"/>
    </row>
    <row r="42" spans="1:3"/>
    <row r="43" spans="1:3"/>
  </sheetData>
  <sheetProtection sheet="1" objects="1" scenarios="1" selectLockedCells="1"/>
  <mergeCells count="5">
    <mergeCell ref="B28:C28"/>
    <mergeCell ref="A30:C30"/>
    <mergeCell ref="A31:C31"/>
    <mergeCell ref="A33:C33"/>
    <mergeCell ref="A41:C41"/>
  </mergeCells>
  <pageMargins left="0.7" right="0.7" top="0.75" bottom="0.75" header="0.51180555555555551" footer="0.51180555555555551"/>
  <pageSetup firstPageNumber="0" orientation="portrait"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sheetPr codeName="Sheet2">
    <tabColor indexed="10"/>
  </sheetPr>
  <dimension ref="A1:E129"/>
  <sheetViews>
    <sheetView workbookViewId="0">
      <selection activeCell="C2" sqref="C2"/>
    </sheetView>
  </sheetViews>
  <sheetFormatPr defaultColWidth="0" defaultRowHeight="15.75"/>
  <cols>
    <col min="1" max="1" width="10.5703125" style="26" customWidth="1"/>
    <col min="2" max="2" width="32.42578125" style="27" customWidth="1"/>
    <col min="3" max="3" width="50.5703125" style="27" customWidth="1"/>
    <col min="4" max="4" width="57.42578125" style="28" customWidth="1"/>
    <col min="5" max="5" width="25.5703125" style="29" customWidth="1"/>
    <col min="6" max="16384" width="0" style="30" hidden="1"/>
  </cols>
  <sheetData>
    <row r="1" spans="1:5" ht="26.25" customHeight="1">
      <c r="A1" s="31" t="s">
        <v>26</v>
      </c>
      <c r="B1" s="31" t="s">
        <v>27</v>
      </c>
      <c r="C1" s="31" t="s">
        <v>28</v>
      </c>
      <c r="D1" s="31" t="s">
        <v>29</v>
      </c>
      <c r="E1" s="31" t="s">
        <v>30</v>
      </c>
    </row>
    <row r="2" spans="1:5">
      <c r="C2" s="32"/>
    </row>
    <row r="3" spans="1:5">
      <c r="C3" s="32"/>
    </row>
    <row r="4" spans="1:5">
      <c r="C4" s="32"/>
    </row>
    <row r="5" spans="1:5">
      <c r="C5" s="32"/>
    </row>
    <row r="6" spans="1:5">
      <c r="C6" s="32"/>
    </row>
    <row r="7" spans="1:5">
      <c r="C7" s="32"/>
    </row>
    <row r="8" spans="1:5">
      <c r="C8" s="32"/>
    </row>
    <row r="9" spans="1:5">
      <c r="C9" s="32"/>
    </row>
    <row r="10" spans="1:5">
      <c r="C10" s="32"/>
    </row>
    <row r="11" spans="1:5">
      <c r="C11" s="32"/>
    </row>
    <row r="12" spans="1:5">
      <c r="C12" s="32"/>
    </row>
    <row r="13" spans="1:5">
      <c r="C13" s="32"/>
    </row>
    <row r="14" spans="1:5">
      <c r="C14" s="32"/>
    </row>
    <row r="15" spans="1:5">
      <c r="C15" s="32"/>
    </row>
    <row r="16" spans="1:5">
      <c r="C16" s="32"/>
    </row>
    <row r="17" spans="3:3">
      <c r="C17" s="32"/>
    </row>
    <row r="18" spans="3:3">
      <c r="C18" s="32"/>
    </row>
    <row r="19" spans="3:3">
      <c r="C19" s="32"/>
    </row>
    <row r="20" spans="3:3">
      <c r="C20" s="32"/>
    </row>
    <row r="21" spans="3:3">
      <c r="C21" s="32"/>
    </row>
    <row r="22" spans="3:3">
      <c r="C22" s="32"/>
    </row>
    <row r="23" spans="3:3">
      <c r="C23" s="32"/>
    </row>
    <row r="24" spans="3:3">
      <c r="C24" s="32"/>
    </row>
    <row r="25" spans="3:3">
      <c r="C25" s="32"/>
    </row>
    <row r="26" spans="3:3">
      <c r="C26" s="32"/>
    </row>
    <row r="27" spans="3:3">
      <c r="C27" s="32"/>
    </row>
    <row r="28" spans="3:3">
      <c r="C28" s="32"/>
    </row>
    <row r="29" spans="3:3">
      <c r="C29" s="32"/>
    </row>
    <row r="30" spans="3:3">
      <c r="C30" s="32"/>
    </row>
    <row r="31" spans="3:3">
      <c r="C31" s="32"/>
    </row>
    <row r="32" spans="3:3">
      <c r="C32" s="32"/>
    </row>
    <row r="33" spans="3:3">
      <c r="C33" s="32"/>
    </row>
    <row r="34" spans="3:3">
      <c r="C34" s="32"/>
    </row>
    <row r="35" spans="3:3">
      <c r="C35" s="32"/>
    </row>
    <row r="36" spans="3:3">
      <c r="C36" s="32"/>
    </row>
    <row r="37" spans="3:3">
      <c r="C37" s="32"/>
    </row>
    <row r="38" spans="3:3">
      <c r="C38" s="32"/>
    </row>
    <row r="39" spans="3:3">
      <c r="C39" s="32"/>
    </row>
    <row r="40" spans="3:3">
      <c r="C40" s="32"/>
    </row>
    <row r="41" spans="3:3">
      <c r="C41" s="32"/>
    </row>
    <row r="42" spans="3:3">
      <c r="C42" s="32"/>
    </row>
    <row r="43" spans="3:3">
      <c r="C43" s="32"/>
    </row>
    <row r="44" spans="3:3">
      <c r="C44" s="32"/>
    </row>
    <row r="45" spans="3:3">
      <c r="C45" s="32"/>
    </row>
    <row r="46" spans="3:3">
      <c r="C46" s="32"/>
    </row>
    <row r="47" spans="3:3">
      <c r="C47" s="32"/>
    </row>
    <row r="48" spans="3:3">
      <c r="C48" s="32"/>
    </row>
    <row r="49" spans="3:3">
      <c r="C49" s="32"/>
    </row>
    <row r="50" spans="3:3">
      <c r="C50" s="32"/>
    </row>
    <row r="51" spans="3:3">
      <c r="C51" s="32"/>
    </row>
    <row r="52" spans="3:3">
      <c r="C52" s="32"/>
    </row>
    <row r="53" spans="3:3">
      <c r="C53" s="32"/>
    </row>
    <row r="54" spans="3:3">
      <c r="C54" s="32"/>
    </row>
    <row r="55" spans="3:3">
      <c r="C55" s="32"/>
    </row>
    <row r="56" spans="3:3">
      <c r="C56" s="32"/>
    </row>
    <row r="57" spans="3:3">
      <c r="C57" s="32"/>
    </row>
    <row r="58" spans="3:3">
      <c r="C58" s="32"/>
    </row>
    <row r="59" spans="3:3">
      <c r="C59" s="32"/>
    </row>
    <row r="60" spans="3:3">
      <c r="C60" s="32"/>
    </row>
    <row r="61" spans="3:3">
      <c r="C61" s="32"/>
    </row>
    <row r="62" spans="3:3">
      <c r="C62" s="32"/>
    </row>
    <row r="63" spans="3:3">
      <c r="C63" s="32"/>
    </row>
    <row r="64" spans="3:3">
      <c r="C64" s="32"/>
    </row>
    <row r="65" spans="3:3">
      <c r="C65" s="32"/>
    </row>
    <row r="66" spans="3:3">
      <c r="C66" s="32"/>
    </row>
    <row r="67" spans="3:3">
      <c r="C67" s="32"/>
    </row>
    <row r="68" spans="3:3">
      <c r="C68" s="32"/>
    </row>
    <row r="69" spans="3:3">
      <c r="C69" s="32"/>
    </row>
    <row r="70" spans="3:3">
      <c r="C70" s="32"/>
    </row>
    <row r="71" spans="3:3">
      <c r="C71" s="32"/>
    </row>
    <row r="72" spans="3:3">
      <c r="C72" s="32"/>
    </row>
    <row r="73" spans="3:3">
      <c r="C73" s="32"/>
    </row>
    <row r="74" spans="3:3">
      <c r="C74" s="32"/>
    </row>
    <row r="75" spans="3:3">
      <c r="C75" s="32"/>
    </row>
    <row r="76" spans="3:3">
      <c r="C76" s="32"/>
    </row>
    <row r="77" spans="3:3">
      <c r="C77" s="32"/>
    </row>
    <row r="78" spans="3:3">
      <c r="C78" s="32"/>
    </row>
    <row r="79" spans="3:3">
      <c r="C79" s="32"/>
    </row>
    <row r="80" spans="3:3">
      <c r="C80" s="32"/>
    </row>
    <row r="81" spans="3:3">
      <c r="C81" s="32"/>
    </row>
    <row r="82" spans="3:3">
      <c r="C82" s="32"/>
    </row>
    <row r="83" spans="3:3">
      <c r="C83" s="32"/>
    </row>
    <row r="84" spans="3:3">
      <c r="C84" s="32"/>
    </row>
    <row r="85" spans="3:3">
      <c r="C85" s="32"/>
    </row>
    <row r="86" spans="3:3">
      <c r="C86" s="32"/>
    </row>
    <row r="87" spans="3:3">
      <c r="C87" s="32"/>
    </row>
    <row r="88" spans="3:3">
      <c r="C88" s="32"/>
    </row>
    <row r="89" spans="3:3">
      <c r="C89" s="32"/>
    </row>
    <row r="90" spans="3:3">
      <c r="C90" s="32"/>
    </row>
    <row r="91" spans="3:3">
      <c r="C91" s="32"/>
    </row>
    <row r="92" spans="3:3">
      <c r="C92" s="32"/>
    </row>
    <row r="93" spans="3:3">
      <c r="C93" s="32"/>
    </row>
    <row r="94" spans="3:3">
      <c r="C94" s="32"/>
    </row>
    <row r="95" spans="3:3">
      <c r="C95" s="32"/>
    </row>
    <row r="96" spans="3:3">
      <c r="C96" s="32"/>
    </row>
    <row r="97" spans="3:3">
      <c r="C97" s="32"/>
    </row>
    <row r="98" spans="3:3">
      <c r="C98" s="32"/>
    </row>
    <row r="99" spans="3:3">
      <c r="C99" s="32"/>
    </row>
    <row r="100" spans="3:3">
      <c r="C100" s="32"/>
    </row>
    <row r="101" spans="3:3">
      <c r="C101" s="32"/>
    </row>
    <row r="102" spans="3:3">
      <c r="C102" s="32"/>
    </row>
    <row r="103" spans="3:3">
      <c r="C103" s="32"/>
    </row>
    <row r="104" spans="3:3">
      <c r="C104" s="32"/>
    </row>
    <row r="105" spans="3:3">
      <c r="C105" s="32"/>
    </row>
    <row r="106" spans="3:3">
      <c r="C106" s="32"/>
    </row>
    <row r="107" spans="3:3">
      <c r="C107" s="32"/>
    </row>
    <row r="108" spans="3:3">
      <c r="C108" s="32"/>
    </row>
    <row r="109" spans="3:3">
      <c r="C109" s="32"/>
    </row>
    <row r="110" spans="3:3">
      <c r="C110" s="32"/>
    </row>
    <row r="111" spans="3:3">
      <c r="C111" s="32"/>
    </row>
    <row r="112" spans="3:3">
      <c r="C112" s="32"/>
    </row>
    <row r="113" spans="3:3">
      <c r="C113" s="32"/>
    </row>
    <row r="114" spans="3:3">
      <c r="C114" s="32"/>
    </row>
    <row r="115" spans="3:3">
      <c r="C115" s="32"/>
    </row>
    <row r="116" spans="3:3">
      <c r="C116" s="32"/>
    </row>
    <row r="117" spans="3:3">
      <c r="C117" s="32"/>
    </row>
    <row r="118" spans="3:3">
      <c r="C118" s="32"/>
    </row>
    <row r="119" spans="3:3">
      <c r="C119" s="32"/>
    </row>
    <row r="120" spans="3:3">
      <c r="C120" s="32"/>
    </row>
    <row r="121" spans="3:3">
      <c r="C121" s="32"/>
    </row>
    <row r="122" spans="3:3">
      <c r="C122" s="32"/>
    </row>
    <row r="123" spans="3:3">
      <c r="C123" s="32"/>
    </row>
    <row r="124" spans="3:3">
      <c r="C124" s="32"/>
    </row>
    <row r="125" spans="3:3">
      <c r="C125" s="32"/>
    </row>
    <row r="126" spans="3:3">
      <c r="C126" s="32"/>
    </row>
    <row r="127" spans="3:3">
      <c r="C127" s="32"/>
    </row>
    <row r="128" spans="3:3">
      <c r="C128" s="32"/>
    </row>
    <row r="129" spans="3:3">
      <c r="C129" s="32"/>
    </row>
  </sheetData>
  <sheetProtection password="94AB" sheet="1" objects="1" scenarios="1"/>
  <pageMargins left="0.7" right="0.7" top="0.75" bottom="0.75" header="0.51180555555555551" footer="0.51180555555555551"/>
  <pageSetup paperSize="9"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sheetPr codeName="Sheet3"/>
  <dimension ref="A1:M565"/>
  <sheetViews>
    <sheetView topLeftCell="A53" workbookViewId="0">
      <selection activeCell="A62" sqref="A62"/>
    </sheetView>
  </sheetViews>
  <sheetFormatPr defaultColWidth="9.140625" defaultRowHeight="16.5"/>
  <cols>
    <col min="1" max="1" width="13.5703125" style="1" customWidth="1"/>
    <col min="2" max="2" width="30.85546875" style="1" bestFit="1" customWidth="1"/>
    <col min="3" max="3" width="9.140625" style="1"/>
    <col min="4" max="4" width="14.5703125" style="1" customWidth="1"/>
    <col min="5" max="5" width="26.140625" style="1" customWidth="1"/>
    <col min="6" max="6" width="33.5703125" style="1" customWidth="1"/>
    <col min="7" max="9" width="23" style="1" customWidth="1"/>
    <col min="10" max="10" width="31.85546875" style="1" bestFit="1" customWidth="1"/>
    <col min="11" max="16384" width="9.140625" style="1"/>
  </cols>
  <sheetData>
    <row r="1" spans="1:13">
      <c r="C1" s="150" t="s">
        <v>32</v>
      </c>
      <c r="E1" s="153" t="s">
        <v>33</v>
      </c>
      <c r="F1" s="165" t="s">
        <v>34</v>
      </c>
      <c r="G1" s="154" t="s">
        <v>35</v>
      </c>
      <c r="H1" s="154" t="s">
        <v>36</v>
      </c>
      <c r="I1" s="155" t="s">
        <v>37</v>
      </c>
      <c r="J1" s="170" t="s">
        <v>38</v>
      </c>
      <c r="M1" s="150">
        <v>2001</v>
      </c>
    </row>
    <row r="2" spans="1:13">
      <c r="C2" s="151" t="s">
        <v>41</v>
      </c>
      <c r="E2" s="156">
        <v>35</v>
      </c>
      <c r="F2" s="166" t="s">
        <v>42</v>
      </c>
      <c r="G2">
        <v>357</v>
      </c>
      <c r="H2" t="s">
        <v>43</v>
      </c>
      <c r="I2" s="166">
        <v>35</v>
      </c>
      <c r="J2" s="151" t="s">
        <v>43</v>
      </c>
      <c r="M2" s="151">
        <v>2002</v>
      </c>
    </row>
    <row r="3" spans="1:13">
      <c r="C3" s="152" t="s">
        <v>46</v>
      </c>
      <c r="E3" s="156">
        <v>43</v>
      </c>
      <c r="F3" s="166" t="s">
        <v>47</v>
      </c>
      <c r="G3">
        <v>362</v>
      </c>
      <c r="H3" t="s">
        <v>48</v>
      </c>
      <c r="I3" s="166">
        <v>35</v>
      </c>
      <c r="J3" s="151" t="s">
        <v>48</v>
      </c>
      <c r="M3" s="151">
        <v>2003</v>
      </c>
    </row>
    <row r="4" spans="1:13">
      <c r="E4" s="156">
        <v>19</v>
      </c>
      <c r="F4" s="166" t="s">
        <v>49</v>
      </c>
      <c r="G4">
        <v>361</v>
      </c>
      <c r="H4" t="s">
        <v>50</v>
      </c>
      <c r="I4" s="166">
        <v>35</v>
      </c>
      <c r="J4" s="151" t="s">
        <v>50</v>
      </c>
      <c r="M4" s="151">
        <v>2004</v>
      </c>
    </row>
    <row r="5" spans="1:13">
      <c r="A5" s="251" t="s">
        <v>31</v>
      </c>
      <c r="B5" s="252" t="s">
        <v>1146</v>
      </c>
      <c r="C5" s="165" t="s">
        <v>1147</v>
      </c>
      <c r="E5" s="156">
        <v>6</v>
      </c>
      <c r="F5" s="166" t="s">
        <v>51</v>
      </c>
      <c r="G5">
        <v>359</v>
      </c>
      <c r="H5" t="s">
        <v>52</v>
      </c>
      <c r="I5" s="166">
        <v>35</v>
      </c>
      <c r="J5" s="151" t="s">
        <v>52</v>
      </c>
      <c r="M5" s="151">
        <v>2005</v>
      </c>
    </row>
    <row r="6" spans="1:13">
      <c r="A6" s="146" t="s">
        <v>39</v>
      </c>
      <c r="B6" s="1" t="s">
        <v>44</v>
      </c>
      <c r="C6" s="147" t="s">
        <v>45</v>
      </c>
      <c r="E6" s="156">
        <v>5</v>
      </c>
      <c r="F6" s="166" t="s">
        <v>53</v>
      </c>
      <c r="G6">
        <v>358</v>
      </c>
      <c r="H6" t="s">
        <v>54</v>
      </c>
      <c r="I6" s="166">
        <v>35</v>
      </c>
      <c r="J6" s="151" t="s">
        <v>54</v>
      </c>
      <c r="M6" s="151">
        <v>2006</v>
      </c>
    </row>
    <row r="7" spans="1:13">
      <c r="A7" s="148" t="s">
        <v>44</v>
      </c>
      <c r="B7" s="157" t="s">
        <v>39</v>
      </c>
      <c r="C7" s="149" t="s">
        <v>40</v>
      </c>
      <c r="E7" s="156">
        <v>3</v>
      </c>
      <c r="F7" s="166" t="s">
        <v>55</v>
      </c>
      <c r="G7">
        <v>360</v>
      </c>
      <c r="H7" t="s">
        <v>56</v>
      </c>
      <c r="I7" s="166">
        <v>35</v>
      </c>
      <c r="J7" s="151" t="s">
        <v>56</v>
      </c>
      <c r="M7" s="151">
        <v>2007</v>
      </c>
    </row>
    <row r="8" spans="1:13">
      <c r="E8" s="156">
        <v>9</v>
      </c>
      <c r="F8" s="166" t="s">
        <v>57</v>
      </c>
      <c r="G8">
        <v>354</v>
      </c>
      <c r="H8" t="s">
        <v>58</v>
      </c>
      <c r="I8" s="166">
        <v>35</v>
      </c>
      <c r="J8" s="151" t="s">
        <v>58</v>
      </c>
      <c r="M8" s="151">
        <v>2008</v>
      </c>
    </row>
    <row r="9" spans="1:13">
      <c r="E9" s="156">
        <v>32</v>
      </c>
      <c r="F9" s="166" t="s">
        <v>59</v>
      </c>
      <c r="G9">
        <v>355</v>
      </c>
      <c r="H9" t="s">
        <v>60</v>
      </c>
      <c r="I9" s="166">
        <v>35</v>
      </c>
      <c r="J9" s="151" t="s">
        <v>60</v>
      </c>
      <c r="M9" s="151">
        <v>2009</v>
      </c>
    </row>
    <row r="10" spans="1:13">
      <c r="E10" s="156">
        <v>30</v>
      </c>
      <c r="F10" s="166" t="s">
        <v>61</v>
      </c>
      <c r="G10">
        <v>356</v>
      </c>
      <c r="H10" t="s">
        <v>62</v>
      </c>
      <c r="I10" s="166">
        <v>35</v>
      </c>
      <c r="J10" s="152" t="s">
        <v>62</v>
      </c>
      <c r="M10" s="151">
        <v>2010</v>
      </c>
    </row>
    <row r="11" spans="1:13">
      <c r="B11" s="159" t="s">
        <v>46</v>
      </c>
      <c r="C11" s="160" t="s">
        <v>41</v>
      </c>
      <c r="D11" s="145" t="s">
        <v>63</v>
      </c>
      <c r="E11" s="156">
        <v>16</v>
      </c>
      <c r="F11" s="166" t="s">
        <v>64</v>
      </c>
      <c r="G11">
        <v>814</v>
      </c>
      <c r="H11" t="s">
        <v>65</v>
      </c>
      <c r="I11" s="166">
        <v>43</v>
      </c>
      <c r="M11" s="151">
        <v>2011</v>
      </c>
    </row>
    <row r="12" spans="1:13">
      <c r="B12" s="148" t="s">
        <v>41</v>
      </c>
      <c r="C12" s="157" t="s">
        <v>46</v>
      </c>
      <c r="D12" s="149" t="s">
        <v>66</v>
      </c>
      <c r="E12" s="156">
        <v>51</v>
      </c>
      <c r="F12" s="166" t="s">
        <v>67</v>
      </c>
      <c r="G12">
        <v>382</v>
      </c>
      <c r="H12" t="s">
        <v>68</v>
      </c>
      <c r="I12" s="166">
        <v>43</v>
      </c>
      <c r="M12" s="151">
        <v>2012</v>
      </c>
    </row>
    <row r="13" spans="1:13">
      <c r="E13" s="156">
        <v>11</v>
      </c>
      <c r="F13" s="166" t="s">
        <v>69</v>
      </c>
      <c r="G13">
        <v>381</v>
      </c>
      <c r="H13" t="s">
        <v>58</v>
      </c>
      <c r="I13" s="166">
        <v>43</v>
      </c>
      <c r="M13" s="151">
        <v>2013</v>
      </c>
    </row>
    <row r="14" spans="1:13">
      <c r="E14" s="156">
        <v>7</v>
      </c>
      <c r="F14" s="166" t="s">
        <v>70</v>
      </c>
      <c r="G14">
        <v>329</v>
      </c>
      <c r="H14" t="s">
        <v>71</v>
      </c>
      <c r="I14" s="166">
        <v>19</v>
      </c>
      <c r="M14" s="151">
        <v>2014</v>
      </c>
    </row>
    <row r="15" spans="1:13">
      <c r="A15" s="144" t="s">
        <v>72</v>
      </c>
      <c r="B15" s="145" t="s">
        <v>73</v>
      </c>
      <c r="C15" s="160" t="s">
        <v>41</v>
      </c>
      <c r="D15" s="145" t="s">
        <v>66</v>
      </c>
      <c r="E15" s="156">
        <v>23</v>
      </c>
      <c r="F15" s="166" t="s">
        <v>74</v>
      </c>
      <c r="G15">
        <v>327</v>
      </c>
      <c r="H15" t="s">
        <v>58</v>
      </c>
      <c r="I15" s="166">
        <v>19</v>
      </c>
      <c r="M15" s="151">
        <v>2015</v>
      </c>
    </row>
    <row r="16" spans="1:13">
      <c r="A16" s="146" t="s">
        <v>75</v>
      </c>
      <c r="B16" s="161" t="s">
        <v>76</v>
      </c>
      <c r="C16" s="157" t="s">
        <v>46</v>
      </c>
      <c r="D16" s="149" t="s">
        <v>63</v>
      </c>
      <c r="E16" s="156">
        <v>25</v>
      </c>
      <c r="F16" s="166" t="s">
        <v>77</v>
      </c>
      <c r="G16">
        <v>330</v>
      </c>
      <c r="H16" t="s">
        <v>78</v>
      </c>
      <c r="I16" s="166">
        <v>19</v>
      </c>
      <c r="M16" s="151">
        <v>2016</v>
      </c>
    </row>
    <row r="17" spans="1:13">
      <c r="A17" s="146" t="s">
        <v>79</v>
      </c>
      <c r="B17" s="161" t="s">
        <v>80</v>
      </c>
      <c r="E17" s="156">
        <v>59</v>
      </c>
      <c r="F17" s="166" t="s">
        <v>81</v>
      </c>
      <c r="G17">
        <v>328</v>
      </c>
      <c r="H17" t="s">
        <v>82</v>
      </c>
      <c r="I17" s="166">
        <v>19</v>
      </c>
      <c r="M17" s="151">
        <v>2017</v>
      </c>
    </row>
    <row r="18" spans="1:13">
      <c r="A18" s="146" t="s">
        <v>83</v>
      </c>
      <c r="B18" s="161" t="s">
        <v>84</v>
      </c>
      <c r="E18" s="156">
        <v>63</v>
      </c>
      <c r="F18" s="166" t="s">
        <v>85</v>
      </c>
      <c r="G18">
        <v>230</v>
      </c>
      <c r="H18" t="s">
        <v>86</v>
      </c>
      <c r="I18" s="166">
        <v>6</v>
      </c>
      <c r="M18" s="151">
        <v>2018</v>
      </c>
    </row>
    <row r="19" spans="1:13">
      <c r="A19" s="146" t="s">
        <v>87</v>
      </c>
      <c r="B19" s="161" t="s">
        <v>88</v>
      </c>
      <c r="E19" s="156">
        <v>20</v>
      </c>
      <c r="F19" s="166" t="s">
        <v>89</v>
      </c>
      <c r="G19">
        <v>227</v>
      </c>
      <c r="H19" t="s">
        <v>54</v>
      </c>
      <c r="I19" s="166">
        <v>6</v>
      </c>
      <c r="M19" s="151">
        <v>2019</v>
      </c>
    </row>
    <row r="20" spans="1:13">
      <c r="A20" s="146" t="s">
        <v>90</v>
      </c>
      <c r="B20" s="161" t="s">
        <v>91</v>
      </c>
      <c r="E20" s="156">
        <v>49</v>
      </c>
      <c r="F20" s="166" t="s">
        <v>92</v>
      </c>
      <c r="G20">
        <v>224</v>
      </c>
      <c r="H20" t="s">
        <v>93</v>
      </c>
      <c r="I20" s="166">
        <v>6</v>
      </c>
      <c r="M20" s="151">
        <v>2020</v>
      </c>
    </row>
    <row r="21" spans="1:13">
      <c r="A21" s="146" t="s">
        <v>94</v>
      </c>
      <c r="B21" s="161" t="s">
        <v>95</v>
      </c>
      <c r="E21" s="156">
        <v>68</v>
      </c>
      <c r="F21" s="166" t="s">
        <v>96</v>
      </c>
      <c r="G21">
        <v>225</v>
      </c>
      <c r="H21" t="s">
        <v>97</v>
      </c>
      <c r="I21" s="166">
        <v>6</v>
      </c>
      <c r="M21" s="151">
        <v>2021</v>
      </c>
    </row>
    <row r="22" spans="1:13">
      <c r="A22" s="146" t="s">
        <v>98</v>
      </c>
      <c r="B22" s="161" t="s">
        <v>99</v>
      </c>
      <c r="E22" s="156">
        <v>70</v>
      </c>
      <c r="F22" s="166" t="s">
        <v>100</v>
      </c>
      <c r="G22">
        <v>222</v>
      </c>
      <c r="H22" t="s">
        <v>58</v>
      </c>
      <c r="I22" s="166">
        <v>6</v>
      </c>
      <c r="M22" s="151">
        <v>2022</v>
      </c>
    </row>
    <row r="23" spans="1:13">
      <c r="A23" s="146" t="s">
        <v>101</v>
      </c>
      <c r="B23" s="161" t="s">
        <v>102</v>
      </c>
      <c r="E23" s="156">
        <v>60</v>
      </c>
      <c r="F23" s="166" t="s">
        <v>103</v>
      </c>
      <c r="G23">
        <v>223</v>
      </c>
      <c r="H23" t="s">
        <v>104</v>
      </c>
      <c r="I23" s="166">
        <v>6</v>
      </c>
      <c r="M23" s="151">
        <v>2023</v>
      </c>
    </row>
    <row r="24" spans="1:13">
      <c r="A24" s="146" t="s">
        <v>105</v>
      </c>
      <c r="B24" s="161" t="s">
        <v>106</v>
      </c>
      <c r="E24" s="156">
        <v>53</v>
      </c>
      <c r="F24" s="166" t="s">
        <v>107</v>
      </c>
      <c r="G24">
        <v>226</v>
      </c>
      <c r="H24" t="s">
        <v>108</v>
      </c>
      <c r="I24" s="166">
        <v>6</v>
      </c>
      <c r="M24" s="151">
        <v>2024</v>
      </c>
    </row>
    <row r="25" spans="1:13">
      <c r="A25" s="146" t="s">
        <v>109</v>
      </c>
      <c r="B25" s="161" t="s">
        <v>110</v>
      </c>
      <c r="E25" s="156">
        <v>74</v>
      </c>
      <c r="F25" s="166" t="s">
        <v>111</v>
      </c>
      <c r="G25">
        <v>228</v>
      </c>
      <c r="H25" t="s">
        <v>112</v>
      </c>
      <c r="I25" s="166">
        <v>6</v>
      </c>
      <c r="M25" s="152">
        <v>2025</v>
      </c>
    </row>
    <row r="26" spans="1:13">
      <c r="A26" s="146" t="s">
        <v>113</v>
      </c>
      <c r="B26" s="161" t="s">
        <v>114</v>
      </c>
      <c r="E26" s="156">
        <v>42</v>
      </c>
      <c r="F26" s="166" t="s">
        <v>115</v>
      </c>
      <c r="G26">
        <v>229</v>
      </c>
      <c r="H26" t="s">
        <v>116</v>
      </c>
      <c r="I26" s="166">
        <v>6</v>
      </c>
    </row>
    <row r="27" spans="1:13">
      <c r="A27" s="148" t="s">
        <v>117</v>
      </c>
      <c r="B27" s="162" t="s">
        <v>118</v>
      </c>
      <c r="E27" s="156">
        <v>55</v>
      </c>
      <c r="F27" s="166" t="s">
        <v>119</v>
      </c>
      <c r="G27">
        <v>220</v>
      </c>
      <c r="H27" t="s">
        <v>58</v>
      </c>
      <c r="I27" s="166">
        <v>5</v>
      </c>
    </row>
    <row r="28" spans="1:13">
      <c r="E28" s="156">
        <v>72</v>
      </c>
      <c r="F28" s="166" t="s">
        <v>120</v>
      </c>
      <c r="G28">
        <v>221</v>
      </c>
      <c r="H28" t="s">
        <v>43</v>
      </c>
      <c r="I28" s="166">
        <v>5</v>
      </c>
    </row>
    <row r="29" spans="1:13">
      <c r="E29" s="156">
        <v>17</v>
      </c>
      <c r="F29" s="166" t="s">
        <v>121</v>
      </c>
      <c r="G29">
        <v>219</v>
      </c>
      <c r="H29" t="s">
        <v>122</v>
      </c>
      <c r="I29" s="166">
        <v>3</v>
      </c>
    </row>
    <row r="30" spans="1:13">
      <c r="E30" s="156">
        <v>8</v>
      </c>
      <c r="F30" s="166" t="s">
        <v>123</v>
      </c>
      <c r="G30">
        <v>148</v>
      </c>
      <c r="H30" t="s">
        <v>124</v>
      </c>
      <c r="I30" s="166">
        <v>3</v>
      </c>
    </row>
    <row r="31" spans="1:13">
      <c r="A31" s="1">
        <v>2</v>
      </c>
      <c r="E31" s="156">
        <v>339</v>
      </c>
      <c r="F31" s="166" t="s">
        <v>125</v>
      </c>
      <c r="G31">
        <v>176</v>
      </c>
      <c r="H31" t="s">
        <v>126</v>
      </c>
      <c r="I31" s="166">
        <v>3</v>
      </c>
    </row>
    <row r="32" spans="1:13">
      <c r="A32" s="1">
        <v>4</v>
      </c>
      <c r="E32" s="156">
        <v>39</v>
      </c>
      <c r="F32" s="166" t="s">
        <v>127</v>
      </c>
      <c r="G32">
        <v>179</v>
      </c>
      <c r="H32" t="s">
        <v>128</v>
      </c>
      <c r="I32" s="166">
        <v>3</v>
      </c>
    </row>
    <row r="33" spans="1:9">
      <c r="A33" s="1">
        <v>9</v>
      </c>
      <c r="E33" s="156">
        <v>57</v>
      </c>
      <c r="F33" s="166" t="s">
        <v>129</v>
      </c>
      <c r="G33">
        <v>203</v>
      </c>
      <c r="H33" t="s">
        <v>130</v>
      </c>
      <c r="I33" s="166">
        <v>3</v>
      </c>
    </row>
    <row r="34" spans="1:9">
      <c r="A34" s="1" t="s">
        <v>1236</v>
      </c>
      <c r="E34" s="156">
        <v>66</v>
      </c>
      <c r="F34" s="166" t="s">
        <v>131</v>
      </c>
      <c r="G34">
        <v>199</v>
      </c>
      <c r="H34" t="s">
        <v>132</v>
      </c>
      <c r="I34" s="166">
        <v>3</v>
      </c>
    </row>
    <row r="35" spans="1:9">
      <c r="A35" s="1" t="s">
        <v>1235</v>
      </c>
      <c r="E35" s="156">
        <v>1</v>
      </c>
      <c r="F35" s="166" t="s">
        <v>133</v>
      </c>
      <c r="G35">
        <v>195</v>
      </c>
      <c r="H35" t="s">
        <v>134</v>
      </c>
      <c r="I35" s="166">
        <v>3</v>
      </c>
    </row>
    <row r="36" spans="1:9">
      <c r="E36" s="156">
        <v>18</v>
      </c>
      <c r="F36" s="166" t="s">
        <v>135</v>
      </c>
      <c r="G36">
        <v>194</v>
      </c>
      <c r="H36" t="s">
        <v>136</v>
      </c>
      <c r="I36" s="166">
        <v>3</v>
      </c>
    </row>
    <row r="37" spans="1:9">
      <c r="A37" s="1" t="s">
        <v>1144</v>
      </c>
      <c r="E37" s="156">
        <v>12</v>
      </c>
      <c r="F37" s="166" t="s">
        <v>137</v>
      </c>
      <c r="G37">
        <v>139</v>
      </c>
      <c r="H37" t="s">
        <v>138</v>
      </c>
      <c r="I37" s="166">
        <v>3</v>
      </c>
    </row>
    <row r="38" spans="1:9">
      <c r="A38" s="1" t="s">
        <v>66</v>
      </c>
      <c r="E38" s="156">
        <v>41</v>
      </c>
      <c r="F38" s="166" t="s">
        <v>139</v>
      </c>
      <c r="G38">
        <v>186</v>
      </c>
      <c r="H38" t="s">
        <v>140</v>
      </c>
      <c r="I38" s="166">
        <v>3</v>
      </c>
    </row>
    <row r="39" spans="1:9">
      <c r="E39" s="156">
        <v>14</v>
      </c>
      <c r="F39" s="166" t="s">
        <v>141</v>
      </c>
      <c r="G39">
        <v>140</v>
      </c>
      <c r="H39" t="s">
        <v>52</v>
      </c>
      <c r="I39" s="166">
        <v>3</v>
      </c>
    </row>
    <row r="40" spans="1:9">
      <c r="E40" s="156">
        <v>50</v>
      </c>
      <c r="F40" s="166" t="s">
        <v>142</v>
      </c>
      <c r="G40">
        <v>141</v>
      </c>
      <c r="H40" t="s">
        <v>143</v>
      </c>
      <c r="I40" s="166">
        <v>3</v>
      </c>
    </row>
    <row r="41" spans="1:9" ht="45.75">
      <c r="A41" s="163" t="s">
        <v>144</v>
      </c>
      <c r="B41" s="164" t="s">
        <v>145</v>
      </c>
      <c r="C41" s="163" t="s">
        <v>146</v>
      </c>
      <c r="D41" s="164" t="s">
        <v>147</v>
      </c>
      <c r="E41" s="156">
        <v>10</v>
      </c>
      <c r="F41" s="166" t="s">
        <v>148</v>
      </c>
      <c r="G41">
        <v>169</v>
      </c>
      <c r="H41" t="s">
        <v>149</v>
      </c>
      <c r="I41" s="166">
        <v>3</v>
      </c>
    </row>
    <row r="42" spans="1:9">
      <c r="A42" s="146" t="s">
        <v>150</v>
      </c>
      <c r="B42" s="147" t="s">
        <v>150</v>
      </c>
      <c r="C42" s="146" t="s">
        <v>150</v>
      </c>
      <c r="D42" s="147" t="s">
        <v>150</v>
      </c>
      <c r="E42" s="156">
        <v>338</v>
      </c>
      <c r="F42" s="166" t="s">
        <v>151</v>
      </c>
      <c r="G42">
        <v>170</v>
      </c>
      <c r="H42" t="s">
        <v>152</v>
      </c>
      <c r="I42" s="166">
        <v>3</v>
      </c>
    </row>
    <row r="43" spans="1:9">
      <c r="A43" s="146" t="s">
        <v>153</v>
      </c>
      <c r="B43" s="147" t="s">
        <v>154</v>
      </c>
      <c r="C43" s="148" t="s">
        <v>155</v>
      </c>
      <c r="D43" s="149" t="s">
        <v>155</v>
      </c>
      <c r="E43" s="156">
        <v>58</v>
      </c>
      <c r="F43" s="166" t="s">
        <v>156</v>
      </c>
      <c r="G43">
        <v>181</v>
      </c>
      <c r="H43" t="s">
        <v>157</v>
      </c>
      <c r="I43" s="166">
        <v>3</v>
      </c>
    </row>
    <row r="44" spans="1:9">
      <c r="A44" s="148" t="s">
        <v>158</v>
      </c>
      <c r="B44" s="149" t="s">
        <v>158</v>
      </c>
      <c r="E44" s="156">
        <v>31</v>
      </c>
      <c r="F44" s="166" t="s">
        <v>159</v>
      </c>
      <c r="G44">
        <v>187</v>
      </c>
      <c r="H44" t="s">
        <v>160</v>
      </c>
      <c r="I44" s="166">
        <v>3</v>
      </c>
    </row>
    <row r="45" spans="1:9">
      <c r="E45" s="156">
        <v>2</v>
      </c>
      <c r="F45" s="166" t="s">
        <v>161</v>
      </c>
      <c r="G45">
        <v>190</v>
      </c>
      <c r="H45" t="s">
        <v>162</v>
      </c>
      <c r="I45" s="166">
        <v>3</v>
      </c>
    </row>
    <row r="46" spans="1:9">
      <c r="A46" s="144" t="s">
        <v>163</v>
      </c>
      <c r="B46" s="145" t="s">
        <v>164</v>
      </c>
      <c r="E46" s="156">
        <v>26</v>
      </c>
      <c r="F46" s="166" t="s">
        <v>165</v>
      </c>
      <c r="G46">
        <v>144</v>
      </c>
      <c r="H46" t="s">
        <v>166</v>
      </c>
      <c r="I46" s="166">
        <v>3</v>
      </c>
    </row>
    <row r="47" spans="1:9">
      <c r="A47" s="146" t="s">
        <v>167</v>
      </c>
      <c r="B47" s="147">
        <v>1</v>
      </c>
      <c r="C47" s="1" t="s">
        <v>1247</v>
      </c>
      <c r="D47" s="1" t="s">
        <v>1248</v>
      </c>
      <c r="E47" s="167">
        <v>54</v>
      </c>
      <c r="F47" s="168" t="s">
        <v>168</v>
      </c>
      <c r="G47">
        <v>168</v>
      </c>
      <c r="H47" t="s">
        <v>169</v>
      </c>
      <c r="I47" s="166">
        <v>3</v>
      </c>
    </row>
    <row r="48" spans="1:9">
      <c r="A48" s="146" t="s">
        <v>170</v>
      </c>
      <c r="B48" s="147">
        <v>2</v>
      </c>
      <c r="C48" s="1" t="s">
        <v>150</v>
      </c>
      <c r="D48" s="1" t="s">
        <v>150</v>
      </c>
      <c r="G48" s="156">
        <v>157</v>
      </c>
      <c r="H48" t="s">
        <v>171</v>
      </c>
      <c r="I48" s="166">
        <v>3</v>
      </c>
    </row>
    <row r="49" spans="1:9">
      <c r="A49" s="146"/>
      <c r="B49" s="147">
        <v>3</v>
      </c>
      <c r="C49" s="1" t="s">
        <v>155</v>
      </c>
      <c r="D49" s="1" t="s">
        <v>155</v>
      </c>
      <c r="G49" s="156">
        <v>156</v>
      </c>
      <c r="H49" t="s">
        <v>172</v>
      </c>
      <c r="I49" s="166">
        <v>3</v>
      </c>
    </row>
    <row r="50" spans="1:9">
      <c r="A50" s="146"/>
      <c r="B50" s="147">
        <v>4</v>
      </c>
      <c r="C50" s="1" t="s">
        <v>1245</v>
      </c>
      <c r="D50" s="1" t="s">
        <v>1246</v>
      </c>
      <c r="G50" s="156">
        <v>145</v>
      </c>
      <c r="H50" t="s">
        <v>173</v>
      </c>
      <c r="I50" s="166">
        <v>3</v>
      </c>
    </row>
    <row r="51" spans="1:9">
      <c r="A51" s="148"/>
      <c r="B51" s="149">
        <v>5</v>
      </c>
      <c r="G51" s="156">
        <v>146</v>
      </c>
      <c r="H51" t="s">
        <v>54</v>
      </c>
      <c r="I51" s="166">
        <v>3</v>
      </c>
    </row>
    <row r="52" spans="1:9">
      <c r="G52" s="156">
        <v>147</v>
      </c>
      <c r="H52" t="s">
        <v>174</v>
      </c>
      <c r="I52" s="166">
        <v>3</v>
      </c>
    </row>
    <row r="53" spans="1:9">
      <c r="G53" s="156">
        <v>193</v>
      </c>
      <c r="H53" t="s">
        <v>175</v>
      </c>
      <c r="I53" s="166">
        <v>3</v>
      </c>
    </row>
    <row r="54" spans="1:9">
      <c r="G54" s="156">
        <v>175</v>
      </c>
      <c r="H54" t="s">
        <v>176</v>
      </c>
      <c r="I54" s="166">
        <v>3</v>
      </c>
    </row>
    <row r="55" spans="1:9">
      <c r="G55" s="156">
        <v>149</v>
      </c>
      <c r="H55" t="s">
        <v>177</v>
      </c>
      <c r="I55" s="166">
        <v>3</v>
      </c>
    </row>
    <row r="56" spans="1:9">
      <c r="A56" s="144" t="s">
        <v>178</v>
      </c>
      <c r="B56" s="145" t="s">
        <v>179</v>
      </c>
      <c r="D56" s="251" t="s">
        <v>180</v>
      </c>
      <c r="E56" s="252" t="s">
        <v>1148</v>
      </c>
      <c r="F56" s="155" t="s">
        <v>1149</v>
      </c>
      <c r="G56" s="156">
        <v>178</v>
      </c>
      <c r="H56" t="s">
        <v>181</v>
      </c>
      <c r="I56" s="166">
        <v>3</v>
      </c>
    </row>
    <row r="57" spans="1:9">
      <c r="A57" s="146" t="s">
        <v>153</v>
      </c>
      <c r="B57" s="147" t="s">
        <v>154</v>
      </c>
      <c r="D57" s="146" t="s">
        <v>182</v>
      </c>
      <c r="E57" s="1" t="s">
        <v>184</v>
      </c>
      <c r="F57" s="147" t="s">
        <v>185</v>
      </c>
      <c r="G57" s="156">
        <v>150</v>
      </c>
      <c r="H57" t="s">
        <v>56</v>
      </c>
      <c r="I57" s="166">
        <v>3</v>
      </c>
    </row>
    <row r="58" spans="1:9">
      <c r="A58" s="148" t="s">
        <v>150</v>
      </c>
      <c r="B58" s="149" t="s">
        <v>150</v>
      </c>
      <c r="D58" s="148" t="s">
        <v>184</v>
      </c>
      <c r="E58" s="148" t="s">
        <v>182</v>
      </c>
      <c r="F58" s="149" t="s">
        <v>183</v>
      </c>
      <c r="G58" s="156">
        <v>189</v>
      </c>
      <c r="H58" t="s">
        <v>186</v>
      </c>
      <c r="I58" s="166">
        <v>3</v>
      </c>
    </row>
    <row r="59" spans="1:9">
      <c r="G59" s="156">
        <v>211</v>
      </c>
      <c r="H59" t="s">
        <v>187</v>
      </c>
      <c r="I59" s="166">
        <v>3</v>
      </c>
    </row>
    <row r="60" spans="1:9">
      <c r="D60" s="144" t="s">
        <v>188</v>
      </c>
      <c r="E60" s="145" t="s">
        <v>189</v>
      </c>
      <c r="G60" s="156">
        <v>151</v>
      </c>
      <c r="H60" t="s">
        <v>190</v>
      </c>
      <c r="I60" s="166">
        <v>3</v>
      </c>
    </row>
    <row r="61" spans="1:9">
      <c r="A61" s="144" t="s">
        <v>191</v>
      </c>
      <c r="B61" s="145" t="s">
        <v>192</v>
      </c>
      <c r="D61" s="146" t="s">
        <v>193</v>
      </c>
      <c r="E61" s="147" t="s">
        <v>194</v>
      </c>
      <c r="G61" s="156">
        <v>152</v>
      </c>
      <c r="H61" t="s">
        <v>68</v>
      </c>
      <c r="I61" s="166">
        <v>3</v>
      </c>
    </row>
    <row r="62" spans="1:9">
      <c r="A62" s="146" t="s">
        <v>1245</v>
      </c>
      <c r="B62" s="147" t="s">
        <v>1246</v>
      </c>
      <c r="D62" s="148" t="s">
        <v>195</v>
      </c>
      <c r="E62" s="149" t="s">
        <v>196</v>
      </c>
      <c r="G62" s="156">
        <v>153</v>
      </c>
      <c r="H62" t="s">
        <v>43</v>
      </c>
      <c r="I62" s="166">
        <v>3</v>
      </c>
    </row>
    <row r="63" spans="1:9">
      <c r="A63" s="148" t="s">
        <v>155</v>
      </c>
      <c r="B63" s="149" t="s">
        <v>155</v>
      </c>
      <c r="G63" s="156">
        <v>154</v>
      </c>
      <c r="H63" t="s">
        <v>93</v>
      </c>
      <c r="I63" s="166">
        <v>3</v>
      </c>
    </row>
    <row r="64" spans="1:9" ht="33">
      <c r="A64" s="1" t="s">
        <v>150</v>
      </c>
      <c r="B64" s="1" t="s">
        <v>150</v>
      </c>
      <c r="D64" s="169" t="s">
        <v>197</v>
      </c>
      <c r="G64" s="156">
        <v>155</v>
      </c>
      <c r="H64" t="s">
        <v>198</v>
      </c>
      <c r="I64" s="166">
        <v>3</v>
      </c>
    </row>
    <row r="65" spans="1:9">
      <c r="A65" s="1" t="s">
        <v>1155</v>
      </c>
      <c r="B65" s="1" t="s">
        <v>1156</v>
      </c>
      <c r="D65" s="151" t="s">
        <v>199</v>
      </c>
      <c r="G65" s="156">
        <v>200</v>
      </c>
      <c r="H65" t="s">
        <v>200</v>
      </c>
      <c r="I65" s="166">
        <v>3</v>
      </c>
    </row>
    <row r="66" spans="1:9">
      <c r="A66" s="1" t="s">
        <v>1157</v>
      </c>
      <c r="B66" s="1" t="s">
        <v>1158</v>
      </c>
      <c r="D66" s="151" t="s">
        <v>201</v>
      </c>
      <c r="G66" s="156">
        <v>142</v>
      </c>
      <c r="H66" t="s">
        <v>202</v>
      </c>
      <c r="I66" s="166">
        <v>3</v>
      </c>
    </row>
    <row r="67" spans="1:9">
      <c r="A67" s="52" t="s">
        <v>1159</v>
      </c>
      <c r="B67" s="52" t="s">
        <v>1160</v>
      </c>
      <c r="D67" s="151" t="s">
        <v>203</v>
      </c>
      <c r="G67" s="156">
        <v>138</v>
      </c>
      <c r="H67" t="s">
        <v>58</v>
      </c>
      <c r="I67" s="166">
        <v>3</v>
      </c>
    </row>
    <row r="68" spans="1:9">
      <c r="D68" s="151" t="s">
        <v>205</v>
      </c>
      <c r="G68" s="156">
        <v>158</v>
      </c>
      <c r="H68" t="s">
        <v>204</v>
      </c>
      <c r="I68" s="166">
        <v>3</v>
      </c>
    </row>
    <row r="69" spans="1:9">
      <c r="D69" s="151" t="s">
        <v>207</v>
      </c>
      <c r="G69" s="156">
        <v>159</v>
      </c>
      <c r="H69" t="s">
        <v>206</v>
      </c>
      <c r="I69" s="166">
        <v>3</v>
      </c>
    </row>
    <row r="70" spans="1:9">
      <c r="G70" s="156">
        <v>160</v>
      </c>
      <c r="H70" t="s">
        <v>208</v>
      </c>
      <c r="I70" s="166">
        <v>3</v>
      </c>
    </row>
    <row r="71" spans="1:9">
      <c r="G71" s="156">
        <v>161</v>
      </c>
      <c r="H71" t="s">
        <v>209</v>
      </c>
      <c r="I71" s="166">
        <v>3</v>
      </c>
    </row>
    <row r="72" spans="1:9">
      <c r="G72" s="156">
        <v>171</v>
      </c>
      <c r="H72" t="s">
        <v>210</v>
      </c>
      <c r="I72" s="166">
        <v>3</v>
      </c>
    </row>
    <row r="73" spans="1:9">
      <c r="G73" s="156">
        <v>172</v>
      </c>
      <c r="H73" t="s">
        <v>71</v>
      </c>
      <c r="I73" s="166">
        <v>3</v>
      </c>
    </row>
    <row r="74" spans="1:9">
      <c r="G74" s="156">
        <v>173</v>
      </c>
      <c r="H74" t="s">
        <v>211</v>
      </c>
      <c r="I74" s="166">
        <v>3</v>
      </c>
    </row>
    <row r="75" spans="1:9">
      <c r="A75" s="37" t="s">
        <v>1154</v>
      </c>
      <c r="G75" s="156">
        <v>180</v>
      </c>
      <c r="H75" t="s">
        <v>212</v>
      </c>
      <c r="I75" s="166">
        <v>3</v>
      </c>
    </row>
    <row r="76" spans="1:9">
      <c r="A76" s="1" t="s">
        <v>1253</v>
      </c>
      <c r="G76" s="156">
        <v>182</v>
      </c>
      <c r="H76" t="s">
        <v>213</v>
      </c>
      <c r="I76" s="166">
        <v>3</v>
      </c>
    </row>
    <row r="77" spans="1:9">
      <c r="G77" s="156">
        <v>183</v>
      </c>
      <c r="H77" t="s">
        <v>214</v>
      </c>
      <c r="I77" s="166">
        <v>3</v>
      </c>
    </row>
    <row r="78" spans="1:9">
      <c r="G78" s="156">
        <v>188</v>
      </c>
      <c r="H78" t="s">
        <v>215</v>
      </c>
      <c r="I78" s="166">
        <v>3</v>
      </c>
    </row>
    <row r="79" spans="1:9">
      <c r="G79" s="156">
        <v>196</v>
      </c>
      <c r="H79" t="s">
        <v>216</v>
      </c>
      <c r="I79" s="166">
        <v>3</v>
      </c>
    </row>
    <row r="80" spans="1:9">
      <c r="G80" s="156">
        <v>197</v>
      </c>
      <c r="H80" t="s">
        <v>217</v>
      </c>
      <c r="I80" s="166">
        <v>3</v>
      </c>
    </row>
    <row r="81" spans="2:9">
      <c r="G81" s="156">
        <v>198</v>
      </c>
      <c r="H81" t="s">
        <v>218</v>
      </c>
      <c r="I81" s="166">
        <v>3</v>
      </c>
    </row>
    <row r="82" spans="2:9">
      <c r="B82" s="1" t="s">
        <v>1129</v>
      </c>
      <c r="G82" s="156">
        <v>201</v>
      </c>
      <c r="H82" t="s">
        <v>219</v>
      </c>
      <c r="I82" s="166">
        <v>3</v>
      </c>
    </row>
    <row r="83" spans="2:9">
      <c r="B83" s="1" t="s">
        <v>1130</v>
      </c>
      <c r="G83" s="156">
        <v>202</v>
      </c>
      <c r="H83" t="s">
        <v>220</v>
      </c>
      <c r="I83" s="166">
        <v>3</v>
      </c>
    </row>
    <row r="84" spans="2:9">
      <c r="B84" s="1" t="s">
        <v>1131</v>
      </c>
      <c r="G84" s="156">
        <v>204</v>
      </c>
      <c r="H84" t="s">
        <v>221</v>
      </c>
      <c r="I84" s="166">
        <v>3</v>
      </c>
    </row>
    <row r="85" spans="2:9">
      <c r="B85" s="1" t="s">
        <v>1132</v>
      </c>
      <c r="G85" s="156">
        <v>205</v>
      </c>
      <c r="H85" t="s">
        <v>60</v>
      </c>
      <c r="I85" s="166">
        <v>3</v>
      </c>
    </row>
    <row r="86" spans="2:9">
      <c r="B86" s="1" t="s">
        <v>1133</v>
      </c>
      <c r="G86" s="156">
        <v>207</v>
      </c>
      <c r="H86" t="s">
        <v>68</v>
      </c>
      <c r="I86" s="166">
        <v>3</v>
      </c>
    </row>
    <row r="87" spans="2:9">
      <c r="B87" s="1" t="s">
        <v>1134</v>
      </c>
      <c r="G87" s="156">
        <v>208</v>
      </c>
      <c r="H87" t="s">
        <v>222</v>
      </c>
      <c r="I87" s="166">
        <v>3</v>
      </c>
    </row>
    <row r="88" spans="2:9">
      <c r="B88" s="1" t="s">
        <v>1135</v>
      </c>
      <c r="G88" s="156">
        <v>209</v>
      </c>
      <c r="H88" t="s">
        <v>223</v>
      </c>
      <c r="I88" s="166">
        <v>3</v>
      </c>
    </row>
    <row r="89" spans="2:9">
      <c r="B89" s="1" t="s">
        <v>1136</v>
      </c>
      <c r="G89" s="156">
        <v>210</v>
      </c>
      <c r="H89" t="s">
        <v>224</v>
      </c>
      <c r="I89" s="166">
        <v>3</v>
      </c>
    </row>
    <row r="90" spans="2:9">
      <c r="B90" s="1" t="s">
        <v>1137</v>
      </c>
      <c r="G90" s="156">
        <v>212</v>
      </c>
      <c r="H90" t="s">
        <v>225</v>
      </c>
      <c r="I90" s="166">
        <v>3</v>
      </c>
    </row>
    <row r="91" spans="2:9">
      <c r="G91" s="156">
        <v>213</v>
      </c>
      <c r="H91" t="s">
        <v>226</v>
      </c>
      <c r="I91" s="166">
        <v>3</v>
      </c>
    </row>
    <row r="92" spans="2:9">
      <c r="G92" s="156">
        <v>215</v>
      </c>
      <c r="H92" t="s">
        <v>227</v>
      </c>
      <c r="I92" s="166">
        <v>3</v>
      </c>
    </row>
    <row r="93" spans="2:9">
      <c r="G93" s="156">
        <v>216</v>
      </c>
      <c r="H93" t="s">
        <v>228</v>
      </c>
      <c r="I93" s="166">
        <v>3</v>
      </c>
    </row>
    <row r="94" spans="2:9">
      <c r="G94" s="156">
        <v>217</v>
      </c>
      <c r="H94" t="s">
        <v>229</v>
      </c>
      <c r="I94" s="166">
        <v>3</v>
      </c>
    </row>
    <row r="95" spans="2:9">
      <c r="G95" s="156">
        <v>218</v>
      </c>
      <c r="H95" t="s">
        <v>230</v>
      </c>
      <c r="I95" s="166">
        <v>3</v>
      </c>
    </row>
    <row r="96" spans="2:9">
      <c r="G96" s="156">
        <v>185</v>
      </c>
      <c r="H96" t="s">
        <v>231</v>
      </c>
      <c r="I96" s="166">
        <v>3</v>
      </c>
    </row>
    <row r="97" spans="7:9">
      <c r="G97" s="156">
        <v>162</v>
      </c>
      <c r="H97" t="s">
        <v>232</v>
      </c>
      <c r="I97" s="166">
        <v>3</v>
      </c>
    </row>
    <row r="98" spans="7:9">
      <c r="G98" s="156">
        <v>163</v>
      </c>
      <c r="H98" t="s">
        <v>233</v>
      </c>
      <c r="I98" s="166">
        <v>3</v>
      </c>
    </row>
    <row r="99" spans="7:9">
      <c r="G99" s="156">
        <v>164</v>
      </c>
      <c r="H99" t="s">
        <v>234</v>
      </c>
      <c r="I99" s="166">
        <v>3</v>
      </c>
    </row>
    <row r="100" spans="7:9">
      <c r="G100" s="156">
        <v>174</v>
      </c>
      <c r="H100" t="s">
        <v>235</v>
      </c>
      <c r="I100" s="166">
        <v>3</v>
      </c>
    </row>
    <row r="101" spans="7:9">
      <c r="G101" s="156">
        <v>177</v>
      </c>
      <c r="H101" t="s">
        <v>236</v>
      </c>
      <c r="I101" s="166">
        <v>3</v>
      </c>
    </row>
    <row r="102" spans="7:9">
      <c r="G102" s="156">
        <v>167</v>
      </c>
      <c r="H102" t="s">
        <v>237</v>
      </c>
      <c r="I102" s="166">
        <v>3</v>
      </c>
    </row>
    <row r="103" spans="7:9">
      <c r="G103" s="156">
        <v>165</v>
      </c>
      <c r="H103" t="s">
        <v>238</v>
      </c>
      <c r="I103" s="166">
        <v>3</v>
      </c>
    </row>
    <row r="104" spans="7:9">
      <c r="G104" s="156">
        <v>184</v>
      </c>
      <c r="H104" t="s">
        <v>239</v>
      </c>
      <c r="I104" s="166">
        <v>3</v>
      </c>
    </row>
    <row r="105" spans="7:9">
      <c r="G105" s="156">
        <v>166</v>
      </c>
      <c r="H105" t="s">
        <v>108</v>
      </c>
      <c r="I105" s="166">
        <v>3</v>
      </c>
    </row>
    <row r="106" spans="7:9">
      <c r="G106" s="156">
        <v>192</v>
      </c>
      <c r="H106" t="s">
        <v>240</v>
      </c>
      <c r="I106" s="166">
        <v>3</v>
      </c>
    </row>
    <row r="107" spans="7:9">
      <c r="G107" s="156">
        <v>191</v>
      </c>
      <c r="H107" t="s">
        <v>241</v>
      </c>
      <c r="I107" s="166">
        <v>3</v>
      </c>
    </row>
    <row r="108" spans="7:9">
      <c r="G108" s="156">
        <v>214</v>
      </c>
      <c r="H108" t="s">
        <v>242</v>
      </c>
      <c r="I108" s="166">
        <v>3</v>
      </c>
    </row>
    <row r="109" spans="7:9">
      <c r="G109" s="156">
        <v>143</v>
      </c>
      <c r="H109" t="s">
        <v>243</v>
      </c>
      <c r="I109" s="166">
        <v>3</v>
      </c>
    </row>
    <row r="110" spans="7:9">
      <c r="G110" s="156">
        <v>206</v>
      </c>
      <c r="H110" t="s">
        <v>244</v>
      </c>
      <c r="I110" s="166">
        <v>3</v>
      </c>
    </row>
    <row r="111" spans="7:9">
      <c r="G111" s="156">
        <v>243</v>
      </c>
      <c r="H111" t="s">
        <v>52</v>
      </c>
      <c r="I111" s="166">
        <v>9</v>
      </c>
    </row>
    <row r="112" spans="7:9">
      <c r="G112" s="156">
        <v>242</v>
      </c>
      <c r="H112" t="s">
        <v>245</v>
      </c>
      <c r="I112" s="166">
        <v>9</v>
      </c>
    </row>
    <row r="113" spans="7:9">
      <c r="G113" s="156">
        <v>241</v>
      </c>
      <c r="H113" t="s">
        <v>246</v>
      </c>
      <c r="I113" s="166">
        <v>9</v>
      </c>
    </row>
    <row r="114" spans="7:9">
      <c r="G114" s="156">
        <v>239</v>
      </c>
      <c r="H114" t="s">
        <v>58</v>
      </c>
      <c r="I114" s="166">
        <v>9</v>
      </c>
    </row>
    <row r="115" spans="7:9">
      <c r="G115" s="156">
        <v>240</v>
      </c>
      <c r="H115" t="s">
        <v>247</v>
      </c>
      <c r="I115" s="166">
        <v>9</v>
      </c>
    </row>
    <row r="116" spans="7:9">
      <c r="G116" s="156">
        <v>353</v>
      </c>
      <c r="H116" t="s">
        <v>248</v>
      </c>
      <c r="I116" s="166">
        <v>32</v>
      </c>
    </row>
    <row r="117" spans="7:9">
      <c r="G117" s="156">
        <v>352</v>
      </c>
      <c r="H117" t="s">
        <v>43</v>
      </c>
      <c r="I117" s="166">
        <v>32</v>
      </c>
    </row>
    <row r="118" spans="7:9">
      <c r="G118" s="156">
        <v>350</v>
      </c>
      <c r="H118" t="s">
        <v>249</v>
      </c>
      <c r="I118" s="166">
        <v>32</v>
      </c>
    </row>
    <row r="119" spans="7:9">
      <c r="G119" s="156">
        <v>351</v>
      </c>
      <c r="H119" t="s">
        <v>58</v>
      </c>
      <c r="I119" s="166">
        <v>32</v>
      </c>
    </row>
    <row r="120" spans="7:9">
      <c r="G120" s="156">
        <v>347</v>
      </c>
      <c r="H120" t="s">
        <v>250</v>
      </c>
      <c r="I120" s="166">
        <v>30</v>
      </c>
    </row>
    <row r="121" spans="7:9">
      <c r="G121" s="156">
        <v>346</v>
      </c>
      <c r="H121" t="s">
        <v>58</v>
      </c>
      <c r="I121" s="166">
        <v>30</v>
      </c>
    </row>
    <row r="122" spans="7:9">
      <c r="G122" s="156">
        <v>345</v>
      </c>
      <c r="H122" t="s">
        <v>54</v>
      </c>
      <c r="I122" s="166">
        <v>30</v>
      </c>
    </row>
    <row r="123" spans="7:9">
      <c r="G123" s="156">
        <v>319</v>
      </c>
      <c r="H123" t="s">
        <v>58</v>
      </c>
      <c r="I123" s="166">
        <v>16</v>
      </c>
    </row>
    <row r="124" spans="7:9">
      <c r="G124" s="156">
        <v>321</v>
      </c>
      <c r="H124" t="s">
        <v>251</v>
      </c>
      <c r="I124" s="166">
        <v>16</v>
      </c>
    </row>
    <row r="125" spans="7:9">
      <c r="G125" s="156">
        <v>320</v>
      </c>
      <c r="H125" t="s">
        <v>246</v>
      </c>
      <c r="I125" s="166">
        <v>16</v>
      </c>
    </row>
    <row r="126" spans="7:9">
      <c r="G126" s="156">
        <v>389</v>
      </c>
      <c r="H126" t="s">
        <v>62</v>
      </c>
      <c r="I126" s="166">
        <v>51</v>
      </c>
    </row>
    <row r="127" spans="7:9">
      <c r="G127" s="156">
        <v>388</v>
      </c>
      <c r="H127" t="s">
        <v>252</v>
      </c>
      <c r="I127" s="166">
        <v>51</v>
      </c>
    </row>
    <row r="128" spans="7:9">
      <c r="G128" s="156">
        <v>387</v>
      </c>
      <c r="H128" t="s">
        <v>58</v>
      </c>
      <c r="I128" s="166">
        <v>51</v>
      </c>
    </row>
    <row r="129" spans="7:9">
      <c r="G129" s="156">
        <v>281</v>
      </c>
      <c r="H129" t="s">
        <v>253</v>
      </c>
      <c r="I129" s="166">
        <v>11</v>
      </c>
    </row>
    <row r="130" spans="7:9">
      <c r="G130" s="156">
        <v>253</v>
      </c>
      <c r="H130" t="s">
        <v>56</v>
      </c>
      <c r="I130" s="166">
        <v>11</v>
      </c>
    </row>
    <row r="131" spans="7:9">
      <c r="G131" s="156">
        <v>287</v>
      </c>
      <c r="H131" t="s">
        <v>187</v>
      </c>
      <c r="I131" s="166">
        <v>11</v>
      </c>
    </row>
    <row r="132" spans="7:9">
      <c r="G132" s="156">
        <v>252</v>
      </c>
      <c r="H132" t="s">
        <v>43</v>
      </c>
      <c r="I132" s="166">
        <v>11</v>
      </c>
    </row>
    <row r="133" spans="7:9">
      <c r="G133" s="156">
        <v>274</v>
      </c>
      <c r="H133" t="s">
        <v>254</v>
      </c>
      <c r="I133" s="166">
        <v>11</v>
      </c>
    </row>
    <row r="134" spans="7:9">
      <c r="G134" s="156">
        <v>249</v>
      </c>
      <c r="H134" t="s">
        <v>58</v>
      </c>
      <c r="I134" s="166">
        <v>11</v>
      </c>
    </row>
    <row r="135" spans="7:9">
      <c r="G135" s="156">
        <v>250</v>
      </c>
      <c r="H135" t="s">
        <v>255</v>
      </c>
      <c r="I135" s="166">
        <v>11</v>
      </c>
    </row>
    <row r="136" spans="7:9">
      <c r="G136" s="156">
        <v>255</v>
      </c>
      <c r="H136" t="s">
        <v>62</v>
      </c>
      <c r="I136" s="166">
        <v>11</v>
      </c>
    </row>
    <row r="137" spans="7:9">
      <c r="G137" s="156">
        <v>259</v>
      </c>
      <c r="H137" t="s">
        <v>256</v>
      </c>
      <c r="I137" s="166">
        <v>11</v>
      </c>
    </row>
    <row r="138" spans="7:9">
      <c r="G138" s="156">
        <v>262</v>
      </c>
      <c r="H138" t="s">
        <v>257</v>
      </c>
      <c r="I138" s="166">
        <v>11</v>
      </c>
    </row>
    <row r="139" spans="7:9">
      <c r="G139" s="156">
        <v>264</v>
      </c>
      <c r="H139" t="s">
        <v>258</v>
      </c>
      <c r="I139" s="166">
        <v>11</v>
      </c>
    </row>
    <row r="140" spans="7:9">
      <c r="G140" s="156">
        <v>267</v>
      </c>
      <c r="H140" t="s">
        <v>259</v>
      </c>
      <c r="I140" s="166">
        <v>11</v>
      </c>
    </row>
    <row r="141" spans="7:9">
      <c r="G141" s="156">
        <v>268</v>
      </c>
      <c r="H141" t="s">
        <v>260</v>
      </c>
      <c r="I141" s="166">
        <v>11</v>
      </c>
    </row>
    <row r="142" spans="7:9">
      <c r="G142" s="156">
        <v>278</v>
      </c>
      <c r="H142" t="s">
        <v>261</v>
      </c>
      <c r="I142" s="166">
        <v>11</v>
      </c>
    </row>
    <row r="143" spans="7:9">
      <c r="G143" s="156">
        <v>280</v>
      </c>
      <c r="H143" t="s">
        <v>262</v>
      </c>
      <c r="I143" s="166">
        <v>11</v>
      </c>
    </row>
    <row r="144" spans="7:9">
      <c r="G144" s="156">
        <v>282</v>
      </c>
      <c r="H144" t="s">
        <v>263</v>
      </c>
      <c r="I144" s="166">
        <v>11</v>
      </c>
    </row>
    <row r="145" spans="7:9">
      <c r="G145" s="156">
        <v>283</v>
      </c>
      <c r="H145" t="s">
        <v>264</v>
      </c>
      <c r="I145" s="166">
        <v>11</v>
      </c>
    </row>
    <row r="146" spans="7:9">
      <c r="G146" s="156">
        <v>284</v>
      </c>
      <c r="H146" t="s">
        <v>265</v>
      </c>
      <c r="I146" s="166">
        <v>11</v>
      </c>
    </row>
    <row r="147" spans="7:9">
      <c r="G147" s="156">
        <v>285</v>
      </c>
      <c r="H147" t="s">
        <v>266</v>
      </c>
      <c r="I147" s="166">
        <v>11</v>
      </c>
    </row>
    <row r="148" spans="7:9">
      <c r="G148" s="156">
        <v>560</v>
      </c>
      <c r="H148" t="s">
        <v>267</v>
      </c>
      <c r="I148" s="166">
        <v>11</v>
      </c>
    </row>
    <row r="149" spans="7:9">
      <c r="G149" s="156">
        <v>263</v>
      </c>
      <c r="H149" t="s">
        <v>268</v>
      </c>
      <c r="I149" s="166">
        <v>11</v>
      </c>
    </row>
    <row r="150" spans="7:9">
      <c r="G150" s="156">
        <v>254</v>
      </c>
      <c r="H150" t="s">
        <v>269</v>
      </c>
      <c r="I150" s="166">
        <v>11</v>
      </c>
    </row>
    <row r="151" spans="7:9">
      <c r="G151" s="156">
        <v>265</v>
      </c>
      <c r="H151" t="s">
        <v>237</v>
      </c>
      <c r="I151" s="166">
        <v>11</v>
      </c>
    </row>
    <row r="152" spans="7:9">
      <c r="G152" s="156">
        <v>258</v>
      </c>
      <c r="H152" t="s">
        <v>238</v>
      </c>
      <c r="I152" s="166">
        <v>11</v>
      </c>
    </row>
    <row r="153" spans="7:9">
      <c r="G153" s="156">
        <v>275</v>
      </c>
      <c r="H153" t="s">
        <v>243</v>
      </c>
      <c r="I153" s="166">
        <v>11</v>
      </c>
    </row>
    <row r="154" spans="7:9">
      <c r="G154" s="156">
        <v>266</v>
      </c>
      <c r="H154" t="s">
        <v>122</v>
      </c>
      <c r="I154" s="166">
        <v>11</v>
      </c>
    </row>
    <row r="155" spans="7:9">
      <c r="G155" s="156">
        <v>276</v>
      </c>
      <c r="H155" t="s">
        <v>270</v>
      </c>
      <c r="I155" s="166">
        <v>11</v>
      </c>
    </row>
    <row r="156" spans="7:9">
      <c r="G156" s="156">
        <v>260</v>
      </c>
      <c r="H156" t="s">
        <v>169</v>
      </c>
      <c r="I156" s="166">
        <v>11</v>
      </c>
    </row>
    <row r="157" spans="7:9">
      <c r="G157" s="156">
        <v>272</v>
      </c>
      <c r="H157" t="s">
        <v>166</v>
      </c>
      <c r="I157" s="166">
        <v>11</v>
      </c>
    </row>
    <row r="158" spans="7:9">
      <c r="G158" s="156">
        <v>286</v>
      </c>
      <c r="H158" t="s">
        <v>271</v>
      </c>
      <c r="I158" s="166">
        <v>11</v>
      </c>
    </row>
    <row r="159" spans="7:9">
      <c r="G159" s="156">
        <v>270</v>
      </c>
      <c r="H159" t="s">
        <v>152</v>
      </c>
      <c r="I159" s="166">
        <v>11</v>
      </c>
    </row>
    <row r="160" spans="7:9">
      <c r="G160" s="156">
        <v>271</v>
      </c>
      <c r="H160" t="s">
        <v>143</v>
      </c>
      <c r="I160" s="166">
        <v>11</v>
      </c>
    </row>
    <row r="161" spans="7:9">
      <c r="G161" s="156">
        <v>261</v>
      </c>
      <c r="H161" t="s">
        <v>52</v>
      </c>
      <c r="I161" s="166">
        <v>11</v>
      </c>
    </row>
    <row r="162" spans="7:9">
      <c r="G162" s="156">
        <v>273</v>
      </c>
      <c r="H162" t="s">
        <v>138</v>
      </c>
      <c r="I162" s="166">
        <v>11</v>
      </c>
    </row>
    <row r="163" spans="7:9">
      <c r="G163" s="156">
        <v>251</v>
      </c>
      <c r="H163" t="s">
        <v>54</v>
      </c>
      <c r="I163" s="166">
        <v>11</v>
      </c>
    </row>
    <row r="164" spans="7:9">
      <c r="G164" s="156">
        <v>256</v>
      </c>
      <c r="H164" t="s">
        <v>173</v>
      </c>
      <c r="I164" s="166">
        <v>11</v>
      </c>
    </row>
    <row r="165" spans="7:9">
      <c r="G165" s="156">
        <v>279</v>
      </c>
      <c r="H165" t="s">
        <v>272</v>
      </c>
      <c r="I165" s="166">
        <v>11</v>
      </c>
    </row>
    <row r="166" spans="7:9">
      <c r="G166" s="156">
        <v>269</v>
      </c>
      <c r="H166" t="s">
        <v>171</v>
      </c>
      <c r="I166" s="166">
        <v>11</v>
      </c>
    </row>
    <row r="167" spans="7:9">
      <c r="G167" s="156">
        <v>257</v>
      </c>
      <c r="H167" t="s">
        <v>176</v>
      </c>
      <c r="I167" s="166">
        <v>11</v>
      </c>
    </row>
    <row r="168" spans="7:9">
      <c r="G168" s="156">
        <v>277</v>
      </c>
      <c r="H168" t="s">
        <v>273</v>
      </c>
      <c r="I168" s="166">
        <v>11</v>
      </c>
    </row>
    <row r="169" spans="7:9">
      <c r="G169" s="156">
        <v>232</v>
      </c>
      <c r="H169" t="s">
        <v>274</v>
      </c>
      <c r="I169" s="166">
        <v>7</v>
      </c>
    </row>
    <row r="170" spans="7:9">
      <c r="G170" s="156">
        <v>233</v>
      </c>
      <c r="H170" t="s">
        <v>275</v>
      </c>
      <c r="I170" s="166">
        <v>7</v>
      </c>
    </row>
    <row r="171" spans="7:9">
      <c r="G171" s="156">
        <v>231</v>
      </c>
      <c r="H171" t="s">
        <v>58</v>
      </c>
      <c r="I171" s="166">
        <v>7</v>
      </c>
    </row>
    <row r="172" spans="7:9">
      <c r="G172" s="156">
        <v>334</v>
      </c>
      <c r="H172" t="s">
        <v>143</v>
      </c>
      <c r="I172" s="166">
        <v>23</v>
      </c>
    </row>
    <row r="173" spans="7:9">
      <c r="G173" s="156">
        <v>338</v>
      </c>
      <c r="H173" t="s">
        <v>56</v>
      </c>
      <c r="I173" s="166">
        <v>23</v>
      </c>
    </row>
    <row r="174" spans="7:9">
      <c r="G174" s="156">
        <v>335</v>
      </c>
      <c r="H174" t="s">
        <v>43</v>
      </c>
      <c r="I174" s="166">
        <v>23</v>
      </c>
    </row>
    <row r="175" spans="7:9">
      <c r="G175" s="156">
        <v>333</v>
      </c>
      <c r="H175" t="s">
        <v>254</v>
      </c>
      <c r="I175" s="166">
        <v>23</v>
      </c>
    </row>
    <row r="176" spans="7:9">
      <c r="G176" s="156">
        <v>332</v>
      </c>
      <c r="H176" t="s">
        <v>58</v>
      </c>
      <c r="I176" s="166">
        <v>23</v>
      </c>
    </row>
    <row r="177" spans="7:9">
      <c r="G177" s="156">
        <v>336</v>
      </c>
      <c r="H177" t="s">
        <v>276</v>
      </c>
      <c r="I177" s="166">
        <v>23</v>
      </c>
    </row>
    <row r="178" spans="7:9">
      <c r="G178" s="156">
        <v>339</v>
      </c>
      <c r="H178" t="s">
        <v>238</v>
      </c>
      <c r="I178" s="166">
        <v>23</v>
      </c>
    </row>
    <row r="179" spans="7:9">
      <c r="G179" s="156">
        <v>337</v>
      </c>
      <c r="H179" t="s">
        <v>108</v>
      </c>
      <c r="I179" s="166">
        <v>23</v>
      </c>
    </row>
    <row r="180" spans="7:9">
      <c r="G180" s="156">
        <v>340</v>
      </c>
      <c r="H180" t="s">
        <v>58</v>
      </c>
      <c r="I180" s="166">
        <v>25</v>
      </c>
    </row>
    <row r="181" spans="7:9">
      <c r="G181" s="156">
        <v>409</v>
      </c>
      <c r="H181" t="s">
        <v>58</v>
      </c>
      <c r="I181" s="166">
        <v>59</v>
      </c>
    </row>
    <row r="182" spans="7:9">
      <c r="G182" s="156">
        <v>410</v>
      </c>
      <c r="H182" t="s">
        <v>277</v>
      </c>
      <c r="I182" s="166">
        <v>59</v>
      </c>
    </row>
    <row r="183" spans="7:9">
      <c r="G183" s="156">
        <v>418</v>
      </c>
      <c r="H183" t="s">
        <v>278</v>
      </c>
      <c r="I183" s="166">
        <v>63</v>
      </c>
    </row>
    <row r="184" spans="7:9">
      <c r="G184" s="156">
        <v>419</v>
      </c>
      <c r="H184" t="s">
        <v>279</v>
      </c>
      <c r="I184" s="166">
        <v>63</v>
      </c>
    </row>
    <row r="185" spans="7:9">
      <c r="G185" s="156">
        <v>421</v>
      </c>
      <c r="H185" t="s">
        <v>78</v>
      </c>
      <c r="I185" s="166">
        <v>63</v>
      </c>
    </row>
    <row r="186" spans="7:9">
      <c r="G186" s="156">
        <v>417</v>
      </c>
      <c r="H186" t="s">
        <v>58</v>
      </c>
      <c r="I186" s="166">
        <v>63</v>
      </c>
    </row>
    <row r="187" spans="7:9">
      <c r="G187" s="156">
        <v>420</v>
      </c>
      <c r="H187" t="s">
        <v>280</v>
      </c>
      <c r="I187" s="166">
        <v>63</v>
      </c>
    </row>
    <row r="188" spans="7:9">
      <c r="G188" s="156">
        <v>422</v>
      </c>
      <c r="H188" t="s">
        <v>281</v>
      </c>
      <c r="I188" s="166">
        <v>63</v>
      </c>
    </row>
    <row r="189" spans="7:9">
      <c r="G189" s="156">
        <v>331</v>
      </c>
      <c r="H189" t="s">
        <v>58</v>
      </c>
      <c r="I189" s="166">
        <v>20</v>
      </c>
    </row>
    <row r="190" spans="7:9">
      <c r="G190" s="156">
        <v>383</v>
      </c>
      <c r="H190" t="s">
        <v>58</v>
      </c>
      <c r="I190" s="166">
        <v>49</v>
      </c>
    </row>
    <row r="191" spans="7:9">
      <c r="G191" s="156">
        <v>384</v>
      </c>
      <c r="H191" t="s">
        <v>246</v>
      </c>
      <c r="I191" s="166">
        <v>49</v>
      </c>
    </row>
    <row r="192" spans="7:9">
      <c r="G192" s="156">
        <v>503</v>
      </c>
      <c r="H192" t="s">
        <v>282</v>
      </c>
      <c r="I192" s="166">
        <v>68</v>
      </c>
    </row>
    <row r="193" spans="7:9">
      <c r="G193" s="156">
        <v>473</v>
      </c>
      <c r="H193" t="s">
        <v>283</v>
      </c>
      <c r="I193" s="166">
        <v>68</v>
      </c>
    </row>
    <row r="194" spans="7:9">
      <c r="G194" s="156">
        <v>502</v>
      </c>
      <c r="H194" t="s">
        <v>284</v>
      </c>
      <c r="I194" s="166">
        <v>68</v>
      </c>
    </row>
    <row r="195" spans="7:9">
      <c r="G195" s="156">
        <v>465</v>
      </c>
      <c r="H195" t="s">
        <v>285</v>
      </c>
      <c r="I195" s="166">
        <v>68</v>
      </c>
    </row>
    <row r="196" spans="7:9">
      <c r="G196" s="156">
        <v>489</v>
      </c>
      <c r="H196" t="s">
        <v>286</v>
      </c>
      <c r="I196" s="166">
        <v>68</v>
      </c>
    </row>
    <row r="197" spans="7:9">
      <c r="G197" s="156">
        <v>497</v>
      </c>
      <c r="H197" t="s">
        <v>287</v>
      </c>
      <c r="I197" s="166">
        <v>68</v>
      </c>
    </row>
    <row r="198" spans="7:9">
      <c r="G198" s="156">
        <v>485</v>
      </c>
      <c r="H198" t="s">
        <v>288</v>
      </c>
      <c r="I198" s="166">
        <v>68</v>
      </c>
    </row>
    <row r="199" spans="7:9">
      <c r="G199" s="156">
        <v>469</v>
      </c>
      <c r="H199" t="s">
        <v>289</v>
      </c>
      <c r="I199" s="166">
        <v>68</v>
      </c>
    </row>
    <row r="200" spans="7:9">
      <c r="G200" s="156">
        <v>477</v>
      </c>
      <c r="H200" t="s">
        <v>290</v>
      </c>
      <c r="I200" s="166">
        <v>68</v>
      </c>
    </row>
    <row r="201" spans="7:9">
      <c r="G201" s="156">
        <v>479</v>
      </c>
      <c r="H201" t="s">
        <v>291</v>
      </c>
      <c r="I201" s="166">
        <v>68</v>
      </c>
    </row>
    <row r="202" spans="7:9">
      <c r="G202" s="156">
        <v>493</v>
      </c>
      <c r="H202" t="s">
        <v>292</v>
      </c>
      <c r="I202" s="166">
        <v>68</v>
      </c>
    </row>
    <row r="203" spans="7:9">
      <c r="G203" s="156">
        <v>476</v>
      </c>
      <c r="H203" t="s">
        <v>293</v>
      </c>
      <c r="I203" s="166">
        <v>68</v>
      </c>
    </row>
    <row r="204" spans="7:9">
      <c r="G204" s="156">
        <v>455</v>
      </c>
      <c r="H204" t="s">
        <v>294</v>
      </c>
      <c r="I204" s="166">
        <v>68</v>
      </c>
    </row>
    <row r="205" spans="7:9">
      <c r="G205" s="156">
        <v>456</v>
      </c>
      <c r="H205" t="s">
        <v>295</v>
      </c>
      <c r="I205" s="166">
        <v>68</v>
      </c>
    </row>
    <row r="206" spans="7:9">
      <c r="G206" s="156">
        <v>457</v>
      </c>
      <c r="H206" t="s">
        <v>296</v>
      </c>
      <c r="I206" s="166">
        <v>68</v>
      </c>
    </row>
    <row r="207" spans="7:9">
      <c r="G207" s="156">
        <v>467</v>
      </c>
      <c r="H207" t="s">
        <v>297</v>
      </c>
      <c r="I207" s="166">
        <v>68</v>
      </c>
    </row>
    <row r="208" spans="7:9">
      <c r="G208" s="156">
        <v>470</v>
      </c>
      <c r="H208" t="s">
        <v>298</v>
      </c>
      <c r="I208" s="166">
        <v>68</v>
      </c>
    </row>
    <row r="209" spans="7:9">
      <c r="G209" s="156">
        <v>472</v>
      </c>
      <c r="H209" t="s">
        <v>299</v>
      </c>
      <c r="I209" s="166">
        <v>68</v>
      </c>
    </row>
    <row r="210" spans="7:9">
      <c r="G210" s="156">
        <v>478</v>
      </c>
      <c r="H210" t="s">
        <v>300</v>
      </c>
      <c r="I210" s="166">
        <v>68</v>
      </c>
    </row>
    <row r="211" spans="7:9">
      <c r="G211" s="156">
        <v>480</v>
      </c>
      <c r="H211" t="s">
        <v>301</v>
      </c>
      <c r="I211" s="166">
        <v>68</v>
      </c>
    </row>
    <row r="212" spans="7:9">
      <c r="G212" s="156">
        <v>482</v>
      </c>
      <c r="H212" t="s">
        <v>302</v>
      </c>
      <c r="I212" s="166">
        <v>68</v>
      </c>
    </row>
    <row r="213" spans="7:9">
      <c r="G213" s="156">
        <v>486</v>
      </c>
      <c r="H213" t="s">
        <v>303</v>
      </c>
      <c r="I213" s="166">
        <v>68</v>
      </c>
    </row>
    <row r="214" spans="7:9">
      <c r="G214" s="156">
        <v>488</v>
      </c>
      <c r="H214" t="s">
        <v>304</v>
      </c>
      <c r="I214" s="166">
        <v>68</v>
      </c>
    </row>
    <row r="215" spans="7:9">
      <c r="G215" s="156">
        <v>490</v>
      </c>
      <c r="H215" t="s">
        <v>267</v>
      </c>
      <c r="I215" s="166">
        <v>68</v>
      </c>
    </row>
    <row r="216" spans="7:9">
      <c r="G216" s="156">
        <v>496</v>
      </c>
      <c r="H216" t="s">
        <v>209</v>
      </c>
      <c r="I216" s="166">
        <v>68</v>
      </c>
    </row>
    <row r="217" spans="7:9">
      <c r="G217" s="156">
        <v>498</v>
      </c>
      <c r="H217" t="s">
        <v>305</v>
      </c>
      <c r="I217" s="166">
        <v>68</v>
      </c>
    </row>
    <row r="218" spans="7:9">
      <c r="G218" s="156">
        <v>505</v>
      </c>
      <c r="H218" t="s">
        <v>116</v>
      </c>
      <c r="I218" s="166">
        <v>68</v>
      </c>
    </row>
    <row r="219" spans="7:9">
      <c r="G219" s="156">
        <v>506</v>
      </c>
      <c r="H219" t="s">
        <v>306</v>
      </c>
      <c r="I219" s="166">
        <v>68</v>
      </c>
    </row>
    <row r="220" spans="7:9">
      <c r="G220" s="156">
        <v>507</v>
      </c>
      <c r="H220" t="s">
        <v>307</v>
      </c>
      <c r="I220" s="166">
        <v>68</v>
      </c>
    </row>
    <row r="221" spans="7:9">
      <c r="G221" s="156">
        <v>509</v>
      </c>
      <c r="H221" t="s">
        <v>260</v>
      </c>
      <c r="I221" s="166">
        <v>68</v>
      </c>
    </row>
    <row r="222" spans="7:9">
      <c r="G222" s="156">
        <v>513</v>
      </c>
      <c r="H222" t="s">
        <v>281</v>
      </c>
      <c r="I222" s="166">
        <v>68</v>
      </c>
    </row>
    <row r="223" spans="7:9">
      <c r="G223" s="156">
        <v>474</v>
      </c>
      <c r="H223" t="s">
        <v>268</v>
      </c>
      <c r="I223" s="166">
        <v>68</v>
      </c>
    </row>
    <row r="224" spans="7:9">
      <c r="G224" s="156">
        <v>468</v>
      </c>
      <c r="H224" t="s">
        <v>48</v>
      </c>
      <c r="I224" s="166">
        <v>68</v>
      </c>
    </row>
    <row r="225" spans="7:9">
      <c r="G225" s="156">
        <v>481</v>
      </c>
      <c r="H225" t="s">
        <v>308</v>
      </c>
      <c r="I225" s="166">
        <v>68</v>
      </c>
    </row>
    <row r="226" spans="7:9">
      <c r="G226" s="156">
        <v>483</v>
      </c>
      <c r="H226" t="s">
        <v>309</v>
      </c>
      <c r="I226" s="166">
        <v>68</v>
      </c>
    </row>
    <row r="227" spans="7:9">
      <c r="G227" s="156">
        <v>471</v>
      </c>
      <c r="H227" t="s">
        <v>310</v>
      </c>
      <c r="I227" s="166">
        <v>68</v>
      </c>
    </row>
    <row r="228" spans="7:9">
      <c r="G228" s="156">
        <v>466</v>
      </c>
      <c r="H228" t="s">
        <v>311</v>
      </c>
      <c r="I228" s="166">
        <v>68</v>
      </c>
    </row>
    <row r="229" spans="7:9">
      <c r="G229" s="156">
        <v>487</v>
      </c>
      <c r="H229" t="s">
        <v>312</v>
      </c>
      <c r="I229" s="166">
        <v>68</v>
      </c>
    </row>
    <row r="230" spans="7:9">
      <c r="G230" s="156">
        <v>512</v>
      </c>
      <c r="H230" t="s">
        <v>313</v>
      </c>
      <c r="I230" s="166">
        <v>68</v>
      </c>
    </row>
    <row r="231" spans="7:9">
      <c r="G231" s="156">
        <v>464</v>
      </c>
      <c r="H231" t="s">
        <v>78</v>
      </c>
      <c r="I231" s="166">
        <v>68</v>
      </c>
    </row>
    <row r="232" spans="7:9">
      <c r="G232" s="156">
        <v>504</v>
      </c>
      <c r="H232" t="s">
        <v>314</v>
      </c>
      <c r="I232" s="166">
        <v>68</v>
      </c>
    </row>
    <row r="233" spans="7:9">
      <c r="G233" s="156">
        <v>463</v>
      </c>
      <c r="H233" t="s">
        <v>315</v>
      </c>
      <c r="I233" s="166">
        <v>68</v>
      </c>
    </row>
    <row r="234" spans="7:9">
      <c r="G234" s="156">
        <v>459</v>
      </c>
      <c r="H234" t="s">
        <v>316</v>
      </c>
      <c r="I234" s="166">
        <v>68</v>
      </c>
    </row>
    <row r="235" spans="7:9">
      <c r="G235" s="156">
        <v>475</v>
      </c>
      <c r="H235" t="s">
        <v>317</v>
      </c>
      <c r="I235" s="166">
        <v>68</v>
      </c>
    </row>
    <row r="236" spans="7:9">
      <c r="G236" s="156">
        <v>492</v>
      </c>
      <c r="H236" t="s">
        <v>318</v>
      </c>
      <c r="I236" s="166">
        <v>68</v>
      </c>
    </row>
    <row r="237" spans="7:9">
      <c r="G237" s="156">
        <v>484</v>
      </c>
      <c r="H237" t="s">
        <v>319</v>
      </c>
      <c r="I237" s="166">
        <v>68</v>
      </c>
    </row>
    <row r="238" spans="7:9">
      <c r="G238" s="156">
        <v>511</v>
      </c>
      <c r="H238" t="s">
        <v>320</v>
      </c>
      <c r="I238" s="166">
        <v>68</v>
      </c>
    </row>
    <row r="239" spans="7:9">
      <c r="G239" s="156">
        <v>494</v>
      </c>
      <c r="H239" t="s">
        <v>321</v>
      </c>
      <c r="I239" s="166">
        <v>68</v>
      </c>
    </row>
    <row r="240" spans="7:9">
      <c r="G240" s="156">
        <v>458</v>
      </c>
      <c r="H240" t="s">
        <v>322</v>
      </c>
      <c r="I240" s="166">
        <v>68</v>
      </c>
    </row>
    <row r="241" spans="7:9">
      <c r="G241" s="156">
        <v>501</v>
      </c>
      <c r="H241" t="s">
        <v>323</v>
      </c>
      <c r="I241" s="166">
        <v>68</v>
      </c>
    </row>
    <row r="242" spans="7:9">
      <c r="G242" s="156">
        <v>510</v>
      </c>
      <c r="H242" t="s">
        <v>324</v>
      </c>
      <c r="I242" s="166">
        <v>68</v>
      </c>
    </row>
    <row r="243" spans="7:9">
      <c r="G243" s="156">
        <v>499</v>
      </c>
      <c r="H243" t="s">
        <v>325</v>
      </c>
      <c r="I243" s="166">
        <v>68</v>
      </c>
    </row>
    <row r="244" spans="7:9">
      <c r="G244" s="156">
        <v>495</v>
      </c>
      <c r="H244" t="s">
        <v>326</v>
      </c>
      <c r="I244" s="166">
        <v>68</v>
      </c>
    </row>
    <row r="245" spans="7:9">
      <c r="G245" s="156">
        <v>462</v>
      </c>
      <c r="H245" t="s">
        <v>327</v>
      </c>
      <c r="I245" s="166">
        <v>68</v>
      </c>
    </row>
    <row r="246" spans="7:9">
      <c r="G246" s="156">
        <v>500</v>
      </c>
      <c r="H246" t="s">
        <v>328</v>
      </c>
      <c r="I246" s="166">
        <v>68</v>
      </c>
    </row>
    <row r="247" spans="7:9">
      <c r="G247" s="156">
        <v>491</v>
      </c>
      <c r="H247" t="s">
        <v>329</v>
      </c>
      <c r="I247" s="166">
        <v>68</v>
      </c>
    </row>
    <row r="248" spans="7:9">
      <c r="G248" s="156">
        <v>460</v>
      </c>
      <c r="H248" t="s">
        <v>330</v>
      </c>
      <c r="I248" s="166">
        <v>68</v>
      </c>
    </row>
    <row r="249" spans="7:9">
      <c r="G249" s="156">
        <v>508</v>
      </c>
      <c r="H249" t="s">
        <v>331</v>
      </c>
      <c r="I249" s="166">
        <v>68</v>
      </c>
    </row>
    <row r="250" spans="7:9">
      <c r="G250" s="156">
        <v>461</v>
      </c>
      <c r="H250" t="s">
        <v>332</v>
      </c>
      <c r="I250" s="166">
        <v>68</v>
      </c>
    </row>
    <row r="251" spans="7:9">
      <c r="G251" s="156">
        <v>545</v>
      </c>
      <c r="H251" t="s">
        <v>333</v>
      </c>
      <c r="I251" s="166">
        <v>70</v>
      </c>
    </row>
    <row r="252" spans="7:9">
      <c r="G252" s="156">
        <v>546</v>
      </c>
      <c r="H252" t="s">
        <v>282</v>
      </c>
      <c r="I252" s="166">
        <v>70</v>
      </c>
    </row>
    <row r="253" spans="7:9">
      <c r="G253" s="156">
        <v>518</v>
      </c>
      <c r="H253" t="s">
        <v>329</v>
      </c>
      <c r="I253" s="166">
        <v>70</v>
      </c>
    </row>
    <row r="254" spans="7:9">
      <c r="G254" s="156">
        <v>521</v>
      </c>
      <c r="H254" t="s">
        <v>327</v>
      </c>
      <c r="I254" s="166">
        <v>70</v>
      </c>
    </row>
    <row r="255" spans="7:9">
      <c r="G255" s="156">
        <v>516</v>
      </c>
      <c r="H255" t="s">
        <v>334</v>
      </c>
      <c r="I255" s="166">
        <v>70</v>
      </c>
    </row>
    <row r="256" spans="7:9">
      <c r="G256" s="156">
        <v>523</v>
      </c>
      <c r="H256" t="s">
        <v>322</v>
      </c>
      <c r="I256" s="166">
        <v>70</v>
      </c>
    </row>
    <row r="257" spans="7:9">
      <c r="G257" s="156">
        <v>538</v>
      </c>
      <c r="H257" t="s">
        <v>321</v>
      </c>
      <c r="I257" s="166">
        <v>70</v>
      </c>
    </row>
    <row r="258" spans="7:9">
      <c r="G258" s="156">
        <v>524</v>
      </c>
      <c r="H258" t="s">
        <v>315</v>
      </c>
      <c r="I258" s="166">
        <v>70</v>
      </c>
    </row>
    <row r="259" spans="7:9">
      <c r="G259" s="156">
        <v>519</v>
      </c>
      <c r="H259" t="s">
        <v>78</v>
      </c>
      <c r="I259" s="166">
        <v>70</v>
      </c>
    </row>
    <row r="260" spans="7:9">
      <c r="G260" s="156">
        <v>529</v>
      </c>
      <c r="H260" t="s">
        <v>313</v>
      </c>
      <c r="I260" s="166">
        <v>70</v>
      </c>
    </row>
    <row r="261" spans="7:9">
      <c r="G261" s="156">
        <v>528</v>
      </c>
      <c r="H261" t="s">
        <v>335</v>
      </c>
      <c r="I261" s="166">
        <v>70</v>
      </c>
    </row>
    <row r="262" spans="7:9">
      <c r="G262" s="156">
        <v>527</v>
      </c>
      <c r="H262" t="s">
        <v>336</v>
      </c>
      <c r="I262" s="166">
        <v>70</v>
      </c>
    </row>
    <row r="263" spans="7:9">
      <c r="G263" s="156">
        <v>542</v>
      </c>
      <c r="H263" t="s">
        <v>337</v>
      </c>
      <c r="I263" s="166">
        <v>70</v>
      </c>
    </row>
    <row r="264" spans="7:9">
      <c r="G264" s="156">
        <v>541</v>
      </c>
      <c r="H264" t="s">
        <v>338</v>
      </c>
      <c r="I264" s="166">
        <v>70</v>
      </c>
    </row>
    <row r="265" spans="7:9">
      <c r="G265" s="156">
        <v>540</v>
      </c>
      <c r="H265" t="s">
        <v>339</v>
      </c>
      <c r="I265" s="166">
        <v>70</v>
      </c>
    </row>
    <row r="266" spans="7:9">
      <c r="G266" s="156">
        <v>537</v>
      </c>
      <c r="H266" t="s">
        <v>209</v>
      </c>
      <c r="I266" s="166">
        <v>70</v>
      </c>
    </row>
    <row r="267" spans="7:9">
      <c r="G267" s="156">
        <v>548</v>
      </c>
      <c r="H267" t="s">
        <v>86</v>
      </c>
      <c r="I267" s="166">
        <v>70</v>
      </c>
    </row>
    <row r="268" spans="7:9">
      <c r="G268" s="156">
        <v>544</v>
      </c>
      <c r="H268" t="s">
        <v>283</v>
      </c>
      <c r="I268" s="166">
        <v>70</v>
      </c>
    </row>
    <row r="269" spans="7:9">
      <c r="G269" s="156">
        <v>552</v>
      </c>
      <c r="H269" t="s">
        <v>340</v>
      </c>
      <c r="I269" s="166">
        <v>70</v>
      </c>
    </row>
    <row r="270" spans="7:9">
      <c r="G270" s="156">
        <v>539</v>
      </c>
      <c r="H270" t="s">
        <v>285</v>
      </c>
      <c r="I270" s="166">
        <v>70</v>
      </c>
    </row>
    <row r="271" spans="7:9">
      <c r="G271" s="156">
        <v>515</v>
      </c>
      <c r="H271" t="s">
        <v>286</v>
      </c>
      <c r="I271" s="166">
        <v>70</v>
      </c>
    </row>
    <row r="272" spans="7:9">
      <c r="G272" s="156">
        <v>531</v>
      </c>
      <c r="H272" t="s">
        <v>280</v>
      </c>
      <c r="I272" s="166">
        <v>70</v>
      </c>
    </row>
    <row r="273" spans="7:9">
      <c r="G273" s="156">
        <v>530</v>
      </c>
      <c r="H273" t="s">
        <v>341</v>
      </c>
      <c r="I273" s="166">
        <v>70</v>
      </c>
    </row>
    <row r="274" spans="7:9">
      <c r="G274" s="156">
        <v>549</v>
      </c>
      <c r="H274" t="s">
        <v>342</v>
      </c>
      <c r="I274" s="166">
        <v>70</v>
      </c>
    </row>
    <row r="275" spans="7:9">
      <c r="G275" s="156">
        <v>543</v>
      </c>
      <c r="H275" t="s">
        <v>343</v>
      </c>
      <c r="I275" s="166">
        <v>70</v>
      </c>
    </row>
    <row r="276" spans="7:9">
      <c r="G276" s="156">
        <v>547</v>
      </c>
      <c r="H276" t="s">
        <v>290</v>
      </c>
      <c r="I276" s="166">
        <v>70</v>
      </c>
    </row>
    <row r="277" spans="7:9">
      <c r="G277" s="156">
        <v>550</v>
      </c>
      <c r="H277" t="s">
        <v>291</v>
      </c>
      <c r="I277" s="166">
        <v>70</v>
      </c>
    </row>
    <row r="278" spans="7:9">
      <c r="G278" s="156">
        <v>551</v>
      </c>
      <c r="H278" t="s">
        <v>344</v>
      </c>
      <c r="I278" s="166">
        <v>70</v>
      </c>
    </row>
    <row r="279" spans="7:9">
      <c r="G279" s="156">
        <v>520</v>
      </c>
      <c r="H279" t="s">
        <v>293</v>
      </c>
      <c r="I279" s="166">
        <v>70</v>
      </c>
    </row>
    <row r="280" spans="7:9">
      <c r="G280" s="156">
        <v>522</v>
      </c>
      <c r="H280" t="s">
        <v>345</v>
      </c>
      <c r="I280" s="166">
        <v>70</v>
      </c>
    </row>
    <row r="281" spans="7:9">
      <c r="G281" s="156">
        <v>514</v>
      </c>
      <c r="H281" t="s">
        <v>58</v>
      </c>
      <c r="I281" s="166">
        <v>70</v>
      </c>
    </row>
    <row r="282" spans="7:9">
      <c r="G282" s="156">
        <v>517</v>
      </c>
      <c r="H282" t="s">
        <v>346</v>
      </c>
      <c r="I282" s="166">
        <v>70</v>
      </c>
    </row>
    <row r="283" spans="7:9">
      <c r="G283" s="156">
        <v>525</v>
      </c>
      <c r="H283" t="s">
        <v>347</v>
      </c>
      <c r="I283" s="166">
        <v>70</v>
      </c>
    </row>
    <row r="284" spans="7:9">
      <c r="G284" s="156">
        <v>526</v>
      </c>
      <c r="H284" t="s">
        <v>348</v>
      </c>
      <c r="I284" s="166">
        <v>70</v>
      </c>
    </row>
    <row r="285" spans="7:9">
      <c r="G285" s="156">
        <v>532</v>
      </c>
      <c r="H285" t="s">
        <v>349</v>
      </c>
      <c r="I285" s="166">
        <v>70</v>
      </c>
    </row>
    <row r="286" spans="7:9">
      <c r="G286" s="156">
        <v>533</v>
      </c>
      <c r="H286" t="s">
        <v>350</v>
      </c>
      <c r="I286" s="166">
        <v>70</v>
      </c>
    </row>
    <row r="287" spans="7:9">
      <c r="G287" s="156">
        <v>534</v>
      </c>
      <c r="H287" t="s">
        <v>351</v>
      </c>
      <c r="I287" s="166">
        <v>70</v>
      </c>
    </row>
    <row r="288" spans="7:9">
      <c r="G288" s="156">
        <v>535</v>
      </c>
      <c r="H288" t="s">
        <v>302</v>
      </c>
      <c r="I288" s="166">
        <v>70</v>
      </c>
    </row>
    <row r="289" spans="7:9">
      <c r="G289" s="156">
        <v>536</v>
      </c>
      <c r="H289" t="s">
        <v>352</v>
      </c>
      <c r="I289" s="166">
        <v>70</v>
      </c>
    </row>
    <row r="290" spans="7:9">
      <c r="G290" s="156">
        <v>415</v>
      </c>
      <c r="H290" t="s">
        <v>353</v>
      </c>
      <c r="I290" s="166">
        <v>60</v>
      </c>
    </row>
    <row r="291" spans="7:9">
      <c r="G291" s="156">
        <v>412</v>
      </c>
      <c r="H291" t="s">
        <v>354</v>
      </c>
      <c r="I291" s="166">
        <v>60</v>
      </c>
    </row>
    <row r="292" spans="7:9">
      <c r="G292" s="156">
        <v>411</v>
      </c>
      <c r="H292" t="s">
        <v>58</v>
      </c>
      <c r="I292" s="166">
        <v>60</v>
      </c>
    </row>
    <row r="293" spans="7:9">
      <c r="G293" s="156">
        <v>413</v>
      </c>
      <c r="H293" t="s">
        <v>60</v>
      </c>
      <c r="I293" s="166">
        <v>60</v>
      </c>
    </row>
    <row r="294" spans="7:9">
      <c r="G294" s="156">
        <v>414</v>
      </c>
      <c r="H294" t="s">
        <v>62</v>
      </c>
      <c r="I294" s="166">
        <v>60</v>
      </c>
    </row>
    <row r="295" spans="7:9">
      <c r="G295" s="156">
        <v>416</v>
      </c>
      <c r="H295" t="s">
        <v>355</v>
      </c>
      <c r="I295" s="166">
        <v>60</v>
      </c>
    </row>
    <row r="296" spans="7:9">
      <c r="G296" s="156">
        <v>392</v>
      </c>
      <c r="H296" t="s">
        <v>48</v>
      </c>
      <c r="I296" s="166">
        <v>53</v>
      </c>
    </row>
    <row r="297" spans="7:9">
      <c r="G297" s="156">
        <v>390</v>
      </c>
      <c r="H297" t="s">
        <v>58</v>
      </c>
      <c r="I297" s="166">
        <v>53</v>
      </c>
    </row>
    <row r="298" spans="7:9">
      <c r="G298" s="156">
        <v>391</v>
      </c>
      <c r="H298" t="s">
        <v>279</v>
      </c>
      <c r="I298" s="166">
        <v>53</v>
      </c>
    </row>
    <row r="299" spans="7:9">
      <c r="G299" s="156">
        <v>393</v>
      </c>
      <c r="H299" t="s">
        <v>86</v>
      </c>
      <c r="I299" s="166">
        <v>53</v>
      </c>
    </row>
    <row r="300" spans="7:9">
      <c r="G300" s="156">
        <v>557</v>
      </c>
      <c r="H300" t="s">
        <v>291</v>
      </c>
      <c r="I300" s="166">
        <v>74</v>
      </c>
    </row>
    <row r="301" spans="7:9">
      <c r="G301" s="156">
        <v>555</v>
      </c>
      <c r="H301" t="s">
        <v>356</v>
      </c>
      <c r="I301" s="166">
        <v>74</v>
      </c>
    </row>
    <row r="302" spans="7:9">
      <c r="G302" s="156">
        <v>556</v>
      </c>
      <c r="H302" t="s">
        <v>260</v>
      </c>
      <c r="I302" s="166">
        <v>74</v>
      </c>
    </row>
    <row r="303" spans="7:9">
      <c r="G303" s="156">
        <v>559</v>
      </c>
      <c r="H303" t="s">
        <v>357</v>
      </c>
      <c r="I303" s="166">
        <v>74</v>
      </c>
    </row>
    <row r="304" spans="7:9">
      <c r="G304" s="156">
        <v>558</v>
      </c>
      <c r="H304" t="s">
        <v>358</v>
      </c>
      <c r="I304" s="166">
        <v>74</v>
      </c>
    </row>
    <row r="305" spans="7:9">
      <c r="G305" s="156">
        <v>378</v>
      </c>
      <c r="H305" t="s">
        <v>58</v>
      </c>
      <c r="I305" s="166">
        <v>42</v>
      </c>
    </row>
    <row r="306" spans="7:9">
      <c r="G306" s="156">
        <v>379</v>
      </c>
      <c r="H306" t="s">
        <v>359</v>
      </c>
      <c r="I306" s="166">
        <v>42</v>
      </c>
    </row>
    <row r="307" spans="7:9">
      <c r="G307" s="156">
        <v>380</v>
      </c>
      <c r="H307" t="s">
        <v>279</v>
      </c>
      <c r="I307" s="166">
        <v>42</v>
      </c>
    </row>
    <row r="308" spans="7:9">
      <c r="G308" s="156">
        <v>396</v>
      </c>
      <c r="H308" t="s">
        <v>58</v>
      </c>
      <c r="I308" s="166">
        <v>55</v>
      </c>
    </row>
    <row r="309" spans="7:9">
      <c r="G309" s="156">
        <v>553</v>
      </c>
      <c r="H309" t="s">
        <v>260</v>
      </c>
      <c r="I309" s="166">
        <v>72</v>
      </c>
    </row>
    <row r="310" spans="7:9">
      <c r="G310" s="156">
        <v>554</v>
      </c>
      <c r="H310" t="s">
        <v>347</v>
      </c>
      <c r="I310" s="166">
        <v>72</v>
      </c>
    </row>
    <row r="311" spans="7:9">
      <c r="G311" s="156">
        <v>815</v>
      </c>
      <c r="H311" t="s">
        <v>360</v>
      </c>
      <c r="I311" s="166">
        <v>339</v>
      </c>
    </row>
    <row r="312" spans="7:9">
      <c r="G312" s="156">
        <v>816</v>
      </c>
      <c r="H312" t="s">
        <v>361</v>
      </c>
      <c r="I312" s="166">
        <v>339</v>
      </c>
    </row>
    <row r="313" spans="7:9">
      <c r="G313" s="156">
        <v>322</v>
      </c>
      <c r="H313" t="s">
        <v>58</v>
      </c>
      <c r="I313" s="166">
        <v>17</v>
      </c>
    </row>
    <row r="314" spans="7:9">
      <c r="G314" s="156">
        <v>323</v>
      </c>
      <c r="H314" t="s">
        <v>43</v>
      </c>
      <c r="I314" s="166">
        <v>17</v>
      </c>
    </row>
    <row r="315" spans="7:9">
      <c r="G315" s="156">
        <v>237</v>
      </c>
      <c r="H315" t="s">
        <v>216</v>
      </c>
      <c r="I315" s="166">
        <v>8</v>
      </c>
    </row>
    <row r="316" spans="7:9">
      <c r="G316" s="156">
        <v>236</v>
      </c>
      <c r="H316" t="s">
        <v>58</v>
      </c>
      <c r="I316" s="166">
        <v>8</v>
      </c>
    </row>
    <row r="317" spans="7:9">
      <c r="G317" s="156">
        <v>235</v>
      </c>
      <c r="H317" t="s">
        <v>177</v>
      </c>
      <c r="I317" s="166">
        <v>8</v>
      </c>
    </row>
    <row r="318" spans="7:9">
      <c r="G318" s="156">
        <v>238</v>
      </c>
      <c r="H318" t="s">
        <v>54</v>
      </c>
      <c r="I318" s="166">
        <v>8</v>
      </c>
    </row>
    <row r="319" spans="7:9">
      <c r="G319" s="156">
        <v>234</v>
      </c>
      <c r="H319" t="s">
        <v>43</v>
      </c>
      <c r="I319" s="166">
        <v>8</v>
      </c>
    </row>
    <row r="320" spans="7:9">
      <c r="G320" s="156">
        <v>363</v>
      </c>
      <c r="H320" t="s">
        <v>58</v>
      </c>
      <c r="I320" s="166">
        <v>39</v>
      </c>
    </row>
    <row r="321" spans="7:9">
      <c r="G321" s="156">
        <v>365</v>
      </c>
      <c r="H321" t="s">
        <v>362</v>
      </c>
      <c r="I321" s="166">
        <v>39</v>
      </c>
    </row>
    <row r="322" spans="7:9">
      <c r="G322" s="156">
        <v>366</v>
      </c>
      <c r="H322" t="s">
        <v>86</v>
      </c>
      <c r="I322" s="166">
        <v>39</v>
      </c>
    </row>
    <row r="323" spans="7:9">
      <c r="G323" s="156">
        <v>364</v>
      </c>
      <c r="H323" t="s">
        <v>353</v>
      </c>
      <c r="I323" s="166">
        <v>39</v>
      </c>
    </row>
    <row r="324" spans="7:9">
      <c r="G324" s="156">
        <v>400</v>
      </c>
      <c r="H324" t="s">
        <v>363</v>
      </c>
      <c r="I324" s="166">
        <v>57</v>
      </c>
    </row>
    <row r="325" spans="7:9">
      <c r="G325" s="156">
        <v>403</v>
      </c>
      <c r="H325" t="s">
        <v>364</v>
      </c>
      <c r="I325" s="166">
        <v>57</v>
      </c>
    </row>
    <row r="326" spans="7:9">
      <c r="G326" s="156">
        <v>404</v>
      </c>
      <c r="H326" t="s">
        <v>303</v>
      </c>
      <c r="I326" s="166">
        <v>57</v>
      </c>
    </row>
    <row r="327" spans="7:9">
      <c r="G327" s="156">
        <v>399</v>
      </c>
      <c r="H327" t="s">
        <v>365</v>
      </c>
      <c r="I327" s="166">
        <v>57</v>
      </c>
    </row>
    <row r="328" spans="7:9">
      <c r="G328" s="156">
        <v>398</v>
      </c>
      <c r="H328" t="s">
        <v>252</v>
      </c>
      <c r="I328" s="166">
        <v>57</v>
      </c>
    </row>
    <row r="329" spans="7:9">
      <c r="G329" s="156">
        <v>397</v>
      </c>
      <c r="H329" t="s">
        <v>58</v>
      </c>
      <c r="I329" s="166">
        <v>57</v>
      </c>
    </row>
    <row r="330" spans="7:9">
      <c r="G330" s="156">
        <v>401</v>
      </c>
      <c r="H330" t="s">
        <v>246</v>
      </c>
      <c r="I330" s="166">
        <v>57</v>
      </c>
    </row>
    <row r="331" spans="7:9">
      <c r="G331" s="156">
        <v>402</v>
      </c>
      <c r="H331" t="s">
        <v>250</v>
      </c>
      <c r="I331" s="166">
        <v>57</v>
      </c>
    </row>
    <row r="332" spans="7:9">
      <c r="G332" s="156">
        <v>452</v>
      </c>
      <c r="H332" t="s">
        <v>366</v>
      </c>
      <c r="I332" s="166">
        <v>66</v>
      </c>
    </row>
    <row r="333" spans="7:9">
      <c r="G333" s="156">
        <v>447</v>
      </c>
      <c r="H333" t="s">
        <v>367</v>
      </c>
      <c r="I333" s="166">
        <v>66</v>
      </c>
    </row>
    <row r="334" spans="7:9">
      <c r="G334" s="156">
        <v>449</v>
      </c>
      <c r="H334" t="s">
        <v>320</v>
      </c>
      <c r="I334" s="166">
        <v>66</v>
      </c>
    </row>
    <row r="335" spans="7:9">
      <c r="G335" s="156">
        <v>435</v>
      </c>
      <c r="H335" t="s">
        <v>78</v>
      </c>
      <c r="I335" s="166">
        <v>66</v>
      </c>
    </row>
    <row r="336" spans="7:9">
      <c r="G336" s="156">
        <v>445</v>
      </c>
      <c r="H336" t="s">
        <v>289</v>
      </c>
      <c r="I336" s="166">
        <v>66</v>
      </c>
    </row>
    <row r="337" spans="7:9">
      <c r="G337" s="156">
        <v>423</v>
      </c>
      <c r="H337" t="s">
        <v>58</v>
      </c>
      <c r="I337" s="166">
        <v>66</v>
      </c>
    </row>
    <row r="338" spans="7:9">
      <c r="G338" s="156">
        <v>432</v>
      </c>
      <c r="H338" t="s">
        <v>341</v>
      </c>
      <c r="I338" s="166">
        <v>66</v>
      </c>
    </row>
    <row r="339" spans="7:9">
      <c r="G339" s="156">
        <v>443</v>
      </c>
      <c r="H339" t="s">
        <v>310</v>
      </c>
      <c r="I339" s="166">
        <v>66</v>
      </c>
    </row>
    <row r="340" spans="7:9">
      <c r="G340" s="156">
        <v>440</v>
      </c>
      <c r="H340" t="s">
        <v>308</v>
      </c>
      <c r="I340" s="166">
        <v>66</v>
      </c>
    </row>
    <row r="341" spans="7:9">
      <c r="G341" s="156">
        <v>427</v>
      </c>
      <c r="H341" t="s">
        <v>48</v>
      </c>
      <c r="I341" s="166">
        <v>66</v>
      </c>
    </row>
    <row r="342" spans="7:9">
      <c r="G342" s="156">
        <v>454</v>
      </c>
      <c r="H342" t="s">
        <v>368</v>
      </c>
      <c r="I342" s="166">
        <v>66</v>
      </c>
    </row>
    <row r="343" spans="7:9">
      <c r="G343" s="156">
        <v>451</v>
      </c>
      <c r="H343" t="s">
        <v>257</v>
      </c>
      <c r="I343" s="166">
        <v>66</v>
      </c>
    </row>
    <row r="344" spans="7:9">
      <c r="G344" s="156">
        <v>436</v>
      </c>
      <c r="H344" t="s">
        <v>369</v>
      </c>
      <c r="I344" s="166">
        <v>66</v>
      </c>
    </row>
    <row r="345" spans="7:9">
      <c r="G345" s="156">
        <v>434</v>
      </c>
      <c r="H345" t="s">
        <v>257</v>
      </c>
      <c r="I345" s="166">
        <v>66</v>
      </c>
    </row>
    <row r="346" spans="7:9">
      <c r="G346" s="156">
        <v>429</v>
      </c>
      <c r="H346" t="s">
        <v>370</v>
      </c>
      <c r="I346" s="166">
        <v>66</v>
      </c>
    </row>
    <row r="347" spans="7:9">
      <c r="G347" s="156">
        <v>426</v>
      </c>
      <c r="H347" t="s">
        <v>371</v>
      </c>
      <c r="I347" s="166">
        <v>66</v>
      </c>
    </row>
    <row r="348" spans="7:9">
      <c r="G348" s="156">
        <v>424</v>
      </c>
      <c r="H348" t="s">
        <v>372</v>
      </c>
      <c r="I348" s="166">
        <v>66</v>
      </c>
    </row>
    <row r="349" spans="7:9">
      <c r="G349" s="156">
        <v>450</v>
      </c>
      <c r="H349" t="s">
        <v>273</v>
      </c>
      <c r="I349" s="166">
        <v>66</v>
      </c>
    </row>
    <row r="350" spans="7:9">
      <c r="G350" s="156">
        <v>441</v>
      </c>
      <c r="H350" t="s">
        <v>373</v>
      </c>
      <c r="I350" s="166">
        <v>66</v>
      </c>
    </row>
    <row r="351" spans="7:9">
      <c r="G351" s="156">
        <v>425</v>
      </c>
      <c r="H351" t="s">
        <v>291</v>
      </c>
      <c r="I351" s="166">
        <v>66</v>
      </c>
    </row>
    <row r="352" spans="7:9">
      <c r="G352" s="156">
        <v>439</v>
      </c>
      <c r="H352" t="s">
        <v>288</v>
      </c>
      <c r="I352" s="166">
        <v>66</v>
      </c>
    </row>
    <row r="353" spans="7:9">
      <c r="G353" s="156">
        <v>438</v>
      </c>
      <c r="H353" t="s">
        <v>287</v>
      </c>
      <c r="I353" s="166">
        <v>66</v>
      </c>
    </row>
    <row r="354" spans="7:9">
      <c r="G354" s="156">
        <v>446</v>
      </c>
      <c r="H354" t="s">
        <v>342</v>
      </c>
      <c r="I354" s="166">
        <v>66</v>
      </c>
    </row>
    <row r="355" spans="7:9">
      <c r="G355" s="156">
        <v>437</v>
      </c>
      <c r="H355" t="s">
        <v>280</v>
      </c>
      <c r="I355" s="166">
        <v>66</v>
      </c>
    </row>
    <row r="356" spans="7:9">
      <c r="G356" s="156">
        <v>433</v>
      </c>
      <c r="H356" t="s">
        <v>374</v>
      </c>
      <c r="I356" s="166">
        <v>66</v>
      </c>
    </row>
    <row r="357" spans="7:9">
      <c r="G357" s="156">
        <v>444</v>
      </c>
      <c r="H357" t="s">
        <v>236</v>
      </c>
      <c r="I357" s="166">
        <v>66</v>
      </c>
    </row>
    <row r="358" spans="7:9">
      <c r="G358" s="156">
        <v>430</v>
      </c>
      <c r="H358" t="s">
        <v>283</v>
      </c>
      <c r="I358" s="166">
        <v>66</v>
      </c>
    </row>
    <row r="359" spans="7:9">
      <c r="G359" s="156">
        <v>431</v>
      </c>
      <c r="H359" t="s">
        <v>86</v>
      </c>
      <c r="I359" s="166">
        <v>66</v>
      </c>
    </row>
    <row r="360" spans="7:9">
      <c r="G360" s="156">
        <v>448</v>
      </c>
      <c r="H360" t="s">
        <v>333</v>
      </c>
      <c r="I360" s="166">
        <v>66</v>
      </c>
    </row>
    <row r="361" spans="7:9">
      <c r="G361" s="156">
        <v>442</v>
      </c>
      <c r="H361" t="s">
        <v>268</v>
      </c>
      <c r="I361" s="166">
        <v>66</v>
      </c>
    </row>
    <row r="362" spans="7:9">
      <c r="G362" s="156">
        <v>428</v>
      </c>
      <c r="H362" t="s">
        <v>311</v>
      </c>
      <c r="I362" s="166">
        <v>66</v>
      </c>
    </row>
    <row r="363" spans="7:9">
      <c r="G363" s="156">
        <v>453</v>
      </c>
      <c r="H363" t="s">
        <v>375</v>
      </c>
      <c r="I363" s="166">
        <v>66</v>
      </c>
    </row>
    <row r="364" spans="7:9">
      <c r="G364" s="156">
        <v>2</v>
      </c>
      <c r="H364" t="s">
        <v>376</v>
      </c>
      <c r="I364" s="166">
        <v>1</v>
      </c>
    </row>
    <row r="365" spans="7:9">
      <c r="G365" s="156">
        <v>4</v>
      </c>
      <c r="H365" t="s">
        <v>58</v>
      </c>
      <c r="I365" s="166">
        <v>1</v>
      </c>
    </row>
    <row r="366" spans="7:9">
      <c r="G366" s="156">
        <v>6</v>
      </c>
      <c r="H366" t="s">
        <v>377</v>
      </c>
      <c r="I366" s="166">
        <v>1</v>
      </c>
    </row>
    <row r="367" spans="7:9">
      <c r="G367" s="156">
        <v>7</v>
      </c>
      <c r="H367" t="s">
        <v>378</v>
      </c>
      <c r="I367" s="166">
        <v>1</v>
      </c>
    </row>
    <row r="368" spans="7:9">
      <c r="G368" s="156">
        <v>10</v>
      </c>
      <c r="H368" t="s">
        <v>379</v>
      </c>
      <c r="I368" s="166">
        <v>1</v>
      </c>
    </row>
    <row r="369" spans="7:9">
      <c r="G369" s="156">
        <v>13</v>
      </c>
      <c r="H369" t="s">
        <v>380</v>
      </c>
      <c r="I369" s="166">
        <v>1</v>
      </c>
    </row>
    <row r="370" spans="7:9">
      <c r="G370" s="156">
        <v>19</v>
      </c>
      <c r="H370" t="s">
        <v>381</v>
      </c>
      <c r="I370" s="166">
        <v>1</v>
      </c>
    </row>
    <row r="371" spans="7:9">
      <c r="G371" s="156">
        <v>20</v>
      </c>
      <c r="H371" t="s">
        <v>382</v>
      </c>
      <c r="I371" s="166">
        <v>1</v>
      </c>
    </row>
    <row r="372" spans="7:9">
      <c r="G372" s="156">
        <v>24</v>
      </c>
      <c r="H372" t="s">
        <v>354</v>
      </c>
      <c r="I372" s="166">
        <v>1</v>
      </c>
    </row>
    <row r="373" spans="7:9">
      <c r="G373" s="156">
        <v>32</v>
      </c>
      <c r="H373" t="s">
        <v>383</v>
      </c>
      <c r="I373" s="166">
        <v>1</v>
      </c>
    </row>
    <row r="374" spans="7:9">
      <c r="G374" s="156">
        <v>33</v>
      </c>
      <c r="H374" t="s">
        <v>216</v>
      </c>
      <c r="I374" s="166">
        <v>1</v>
      </c>
    </row>
    <row r="375" spans="7:9">
      <c r="G375" s="156">
        <v>38</v>
      </c>
      <c r="H375" t="s">
        <v>384</v>
      </c>
      <c r="I375" s="166">
        <v>1</v>
      </c>
    </row>
    <row r="376" spans="7:9">
      <c r="G376" s="156">
        <v>42</v>
      </c>
      <c r="H376" t="s">
        <v>385</v>
      </c>
      <c r="I376" s="166">
        <v>1</v>
      </c>
    </row>
    <row r="377" spans="7:9">
      <c r="G377" s="156">
        <v>43</v>
      </c>
      <c r="H377" t="s">
        <v>386</v>
      </c>
      <c r="I377" s="166">
        <v>1</v>
      </c>
    </row>
    <row r="378" spans="7:9">
      <c r="G378" s="156">
        <v>45</v>
      </c>
      <c r="H378" t="s">
        <v>387</v>
      </c>
      <c r="I378" s="166">
        <v>1</v>
      </c>
    </row>
    <row r="379" spans="7:9">
      <c r="G379" s="156">
        <v>49</v>
      </c>
      <c r="H379" t="s">
        <v>388</v>
      </c>
      <c r="I379" s="166">
        <v>1</v>
      </c>
    </row>
    <row r="380" spans="7:9">
      <c r="G380" s="156">
        <v>59</v>
      </c>
      <c r="H380" t="s">
        <v>389</v>
      </c>
      <c r="I380" s="166">
        <v>1</v>
      </c>
    </row>
    <row r="381" spans="7:9">
      <c r="G381" s="156">
        <v>60</v>
      </c>
      <c r="H381" t="s">
        <v>390</v>
      </c>
      <c r="I381" s="166">
        <v>1</v>
      </c>
    </row>
    <row r="382" spans="7:9">
      <c r="G382" s="156">
        <v>66</v>
      </c>
      <c r="H382" t="s">
        <v>326</v>
      </c>
      <c r="I382" s="166">
        <v>1</v>
      </c>
    </row>
    <row r="383" spans="7:9">
      <c r="G383" s="156">
        <v>69</v>
      </c>
      <c r="H383" t="s">
        <v>261</v>
      </c>
      <c r="I383" s="166">
        <v>1</v>
      </c>
    </row>
    <row r="384" spans="7:9">
      <c r="G384" s="156">
        <v>77</v>
      </c>
      <c r="H384" t="s">
        <v>391</v>
      </c>
      <c r="I384" s="166">
        <v>1</v>
      </c>
    </row>
    <row r="385" spans="7:9">
      <c r="G385" s="156">
        <v>82</v>
      </c>
      <c r="H385" t="s">
        <v>392</v>
      </c>
      <c r="I385" s="166">
        <v>1</v>
      </c>
    </row>
    <row r="386" spans="7:9">
      <c r="G386" s="156">
        <v>91</v>
      </c>
      <c r="H386" t="s">
        <v>231</v>
      </c>
      <c r="I386" s="166">
        <v>1</v>
      </c>
    </row>
    <row r="387" spans="7:9">
      <c r="G387" s="156">
        <v>9</v>
      </c>
      <c r="H387" t="s">
        <v>393</v>
      </c>
      <c r="I387" s="166">
        <v>1</v>
      </c>
    </row>
    <row r="388" spans="7:9">
      <c r="G388" s="156">
        <v>64</v>
      </c>
      <c r="H388" t="s">
        <v>394</v>
      </c>
      <c r="I388" s="166">
        <v>1</v>
      </c>
    </row>
    <row r="389" spans="7:9">
      <c r="G389" s="156">
        <v>31</v>
      </c>
      <c r="H389" t="s">
        <v>234</v>
      </c>
      <c r="I389" s="166">
        <v>1</v>
      </c>
    </row>
    <row r="390" spans="7:9">
      <c r="G390" s="156">
        <v>86</v>
      </c>
      <c r="H390" t="s">
        <v>235</v>
      </c>
      <c r="I390" s="166">
        <v>1</v>
      </c>
    </row>
    <row r="391" spans="7:9">
      <c r="G391" s="156">
        <v>28</v>
      </c>
      <c r="H391" t="s">
        <v>237</v>
      </c>
      <c r="I391" s="166">
        <v>1</v>
      </c>
    </row>
    <row r="392" spans="7:9">
      <c r="G392" s="156">
        <v>18</v>
      </c>
      <c r="H392" t="s">
        <v>238</v>
      </c>
      <c r="I392" s="166">
        <v>1</v>
      </c>
    </row>
    <row r="393" spans="7:9">
      <c r="G393" s="156">
        <v>81</v>
      </c>
      <c r="H393" t="s">
        <v>239</v>
      </c>
      <c r="I393" s="166">
        <v>1</v>
      </c>
    </row>
    <row r="394" spans="7:9">
      <c r="G394" s="156">
        <v>51</v>
      </c>
      <c r="H394" t="s">
        <v>395</v>
      </c>
      <c r="I394" s="166">
        <v>1</v>
      </c>
    </row>
    <row r="395" spans="7:9">
      <c r="G395" s="156">
        <v>27</v>
      </c>
      <c r="H395" t="s">
        <v>396</v>
      </c>
      <c r="I395" s="166">
        <v>1</v>
      </c>
    </row>
    <row r="396" spans="7:9">
      <c r="G396" s="156">
        <v>14</v>
      </c>
      <c r="H396" t="s">
        <v>108</v>
      </c>
      <c r="I396" s="166">
        <v>1</v>
      </c>
    </row>
    <row r="397" spans="7:9">
      <c r="G397" s="156">
        <v>88</v>
      </c>
      <c r="H397" t="s">
        <v>240</v>
      </c>
      <c r="I397" s="166">
        <v>1</v>
      </c>
    </row>
    <row r="398" spans="7:9">
      <c r="G398" s="156">
        <v>57</v>
      </c>
      <c r="H398" t="s">
        <v>397</v>
      </c>
      <c r="I398" s="166">
        <v>1</v>
      </c>
    </row>
    <row r="399" spans="7:9">
      <c r="G399" s="156">
        <v>89</v>
      </c>
      <c r="H399" t="s">
        <v>241</v>
      </c>
      <c r="I399" s="166">
        <v>1</v>
      </c>
    </row>
    <row r="400" spans="7:9">
      <c r="G400" s="156">
        <v>87</v>
      </c>
      <c r="H400" t="s">
        <v>242</v>
      </c>
      <c r="I400" s="166">
        <v>1</v>
      </c>
    </row>
    <row r="401" spans="7:9">
      <c r="G401" s="156">
        <v>26</v>
      </c>
      <c r="H401" t="s">
        <v>398</v>
      </c>
      <c r="I401" s="166">
        <v>1</v>
      </c>
    </row>
    <row r="402" spans="7:9">
      <c r="G402" s="156">
        <v>34</v>
      </c>
      <c r="H402" t="s">
        <v>399</v>
      </c>
      <c r="I402" s="166">
        <v>1</v>
      </c>
    </row>
    <row r="403" spans="7:9">
      <c r="G403" s="156">
        <v>97</v>
      </c>
      <c r="H403" t="s">
        <v>122</v>
      </c>
      <c r="I403" s="166">
        <v>1</v>
      </c>
    </row>
    <row r="404" spans="7:9">
      <c r="G404" s="156">
        <v>39</v>
      </c>
      <c r="H404" t="s">
        <v>400</v>
      </c>
      <c r="I404" s="166">
        <v>1</v>
      </c>
    </row>
    <row r="405" spans="7:9">
      <c r="G405" s="156">
        <v>78</v>
      </c>
      <c r="H405" t="s">
        <v>401</v>
      </c>
      <c r="I405" s="166">
        <v>1</v>
      </c>
    </row>
    <row r="406" spans="7:9">
      <c r="G406" s="156">
        <v>62</v>
      </c>
      <c r="H406" t="s">
        <v>402</v>
      </c>
      <c r="I406" s="166">
        <v>1</v>
      </c>
    </row>
    <row r="407" spans="7:9">
      <c r="G407" s="156">
        <v>90</v>
      </c>
      <c r="H407" t="s">
        <v>403</v>
      </c>
      <c r="I407" s="166">
        <v>1</v>
      </c>
    </row>
    <row r="408" spans="7:9">
      <c r="G408" s="156">
        <v>83</v>
      </c>
      <c r="H408" t="s">
        <v>404</v>
      </c>
      <c r="I408" s="166">
        <v>1</v>
      </c>
    </row>
    <row r="409" spans="7:9">
      <c r="G409" s="156">
        <v>36</v>
      </c>
      <c r="H409" t="s">
        <v>405</v>
      </c>
      <c r="I409" s="166">
        <v>1</v>
      </c>
    </row>
    <row r="410" spans="7:9">
      <c r="G410" s="156">
        <v>23</v>
      </c>
      <c r="H410" t="s">
        <v>406</v>
      </c>
      <c r="I410" s="166">
        <v>1</v>
      </c>
    </row>
    <row r="411" spans="7:9">
      <c r="G411" s="156">
        <v>47</v>
      </c>
      <c r="H411" t="s">
        <v>407</v>
      </c>
      <c r="I411" s="166">
        <v>1</v>
      </c>
    </row>
    <row r="412" spans="7:9">
      <c r="G412" s="156">
        <v>46</v>
      </c>
      <c r="H412" t="s">
        <v>408</v>
      </c>
      <c r="I412" s="166">
        <v>1</v>
      </c>
    </row>
    <row r="413" spans="7:9">
      <c r="G413" s="156">
        <v>94</v>
      </c>
      <c r="H413" t="s">
        <v>334</v>
      </c>
      <c r="I413" s="166">
        <v>1</v>
      </c>
    </row>
    <row r="414" spans="7:9">
      <c r="G414" s="156">
        <v>65</v>
      </c>
      <c r="H414" t="s">
        <v>409</v>
      </c>
      <c r="I414" s="166">
        <v>1</v>
      </c>
    </row>
    <row r="415" spans="7:9">
      <c r="G415" s="156">
        <v>56</v>
      </c>
      <c r="H415" t="s">
        <v>410</v>
      </c>
      <c r="I415" s="166">
        <v>1</v>
      </c>
    </row>
    <row r="416" spans="7:9">
      <c r="G416" s="156">
        <v>85</v>
      </c>
      <c r="H416" t="s">
        <v>136</v>
      </c>
      <c r="I416" s="166">
        <v>1</v>
      </c>
    </row>
    <row r="417" spans="7:9">
      <c r="G417" s="156">
        <v>50</v>
      </c>
      <c r="H417" t="s">
        <v>411</v>
      </c>
      <c r="I417" s="166">
        <v>1</v>
      </c>
    </row>
    <row r="418" spans="7:9">
      <c r="G418" s="156">
        <v>3</v>
      </c>
      <c r="H418" t="s">
        <v>273</v>
      </c>
      <c r="I418" s="166">
        <v>1</v>
      </c>
    </row>
    <row r="419" spans="7:9">
      <c r="G419" s="156">
        <v>99</v>
      </c>
      <c r="H419" t="s">
        <v>412</v>
      </c>
      <c r="I419" s="166">
        <v>1</v>
      </c>
    </row>
    <row r="420" spans="7:9">
      <c r="G420" s="156">
        <v>35</v>
      </c>
      <c r="H420" t="s">
        <v>413</v>
      </c>
      <c r="I420" s="166">
        <v>1</v>
      </c>
    </row>
    <row r="421" spans="7:9">
      <c r="G421" s="156">
        <v>5</v>
      </c>
      <c r="H421" t="s">
        <v>414</v>
      </c>
      <c r="I421" s="166">
        <v>1</v>
      </c>
    </row>
    <row r="422" spans="7:9">
      <c r="G422" s="156">
        <v>52</v>
      </c>
      <c r="H422" t="s">
        <v>415</v>
      </c>
      <c r="I422" s="166">
        <v>1</v>
      </c>
    </row>
    <row r="423" spans="7:9">
      <c r="G423" s="156">
        <v>61</v>
      </c>
      <c r="H423" t="s">
        <v>416</v>
      </c>
      <c r="I423" s="166">
        <v>1</v>
      </c>
    </row>
    <row r="424" spans="7:9">
      <c r="G424" s="156">
        <v>53</v>
      </c>
      <c r="H424" t="s">
        <v>417</v>
      </c>
      <c r="I424" s="166">
        <v>1</v>
      </c>
    </row>
    <row r="425" spans="7:9">
      <c r="G425" s="156">
        <v>84</v>
      </c>
      <c r="H425" t="s">
        <v>418</v>
      </c>
      <c r="I425" s="166">
        <v>1</v>
      </c>
    </row>
    <row r="426" spans="7:9">
      <c r="G426" s="156">
        <v>79</v>
      </c>
      <c r="H426" t="s">
        <v>419</v>
      </c>
      <c r="I426" s="166">
        <v>1</v>
      </c>
    </row>
    <row r="427" spans="7:9">
      <c r="G427" s="156">
        <v>98</v>
      </c>
      <c r="H427" t="s">
        <v>138</v>
      </c>
      <c r="I427" s="166">
        <v>1</v>
      </c>
    </row>
    <row r="428" spans="7:9">
      <c r="G428" s="156">
        <v>67</v>
      </c>
      <c r="H428" t="s">
        <v>420</v>
      </c>
      <c r="I428" s="166">
        <v>1</v>
      </c>
    </row>
    <row r="429" spans="7:9">
      <c r="G429" s="156">
        <v>15</v>
      </c>
      <c r="H429" t="s">
        <v>52</v>
      </c>
      <c r="I429" s="166">
        <v>1</v>
      </c>
    </row>
    <row r="430" spans="7:9">
      <c r="G430" s="156">
        <v>70</v>
      </c>
      <c r="H430" t="s">
        <v>421</v>
      </c>
      <c r="I430" s="166">
        <v>1</v>
      </c>
    </row>
    <row r="431" spans="7:9">
      <c r="G431" s="156">
        <v>22</v>
      </c>
      <c r="H431" t="s">
        <v>143</v>
      </c>
      <c r="I431" s="166">
        <v>1</v>
      </c>
    </row>
    <row r="432" spans="7:9">
      <c r="G432" s="156">
        <v>71</v>
      </c>
      <c r="H432" t="s">
        <v>149</v>
      </c>
      <c r="I432" s="166">
        <v>1</v>
      </c>
    </row>
    <row r="433" spans="7:9">
      <c r="G433" s="156">
        <v>63</v>
      </c>
      <c r="H433" t="s">
        <v>422</v>
      </c>
      <c r="I433" s="166">
        <v>1</v>
      </c>
    </row>
    <row r="434" spans="7:9">
      <c r="G434" s="156">
        <v>72</v>
      </c>
      <c r="H434" t="s">
        <v>152</v>
      </c>
      <c r="I434" s="166">
        <v>1</v>
      </c>
    </row>
    <row r="435" spans="7:9">
      <c r="G435" s="156">
        <v>16</v>
      </c>
      <c r="H435" t="s">
        <v>160</v>
      </c>
      <c r="I435" s="166">
        <v>1</v>
      </c>
    </row>
    <row r="436" spans="7:9">
      <c r="G436" s="156">
        <v>55</v>
      </c>
      <c r="H436" t="s">
        <v>423</v>
      </c>
      <c r="I436" s="166">
        <v>1</v>
      </c>
    </row>
    <row r="437" spans="7:9">
      <c r="G437" s="156">
        <v>68</v>
      </c>
      <c r="H437" t="s">
        <v>162</v>
      </c>
      <c r="I437" s="166">
        <v>1</v>
      </c>
    </row>
    <row r="438" spans="7:9">
      <c r="G438" s="156">
        <v>80</v>
      </c>
      <c r="H438" t="s">
        <v>424</v>
      </c>
      <c r="I438" s="166">
        <v>1</v>
      </c>
    </row>
    <row r="439" spans="7:9">
      <c r="G439" s="156">
        <v>12</v>
      </c>
      <c r="H439" t="s">
        <v>166</v>
      </c>
      <c r="I439" s="166">
        <v>1</v>
      </c>
    </row>
    <row r="440" spans="7:9">
      <c r="G440" s="156">
        <v>96</v>
      </c>
      <c r="H440" t="s">
        <v>425</v>
      </c>
      <c r="I440" s="166">
        <v>1</v>
      </c>
    </row>
    <row r="441" spans="7:9">
      <c r="G441" s="156">
        <v>25</v>
      </c>
      <c r="H441" t="s">
        <v>171</v>
      </c>
      <c r="I441" s="166">
        <v>1</v>
      </c>
    </row>
    <row r="442" spans="7:9">
      <c r="G442" s="156">
        <v>76</v>
      </c>
      <c r="H442" t="s">
        <v>172</v>
      </c>
      <c r="I442" s="166">
        <v>1</v>
      </c>
    </row>
    <row r="443" spans="7:9">
      <c r="G443" s="156">
        <v>92</v>
      </c>
      <c r="H443" t="s">
        <v>173</v>
      </c>
      <c r="I443" s="166">
        <v>1</v>
      </c>
    </row>
    <row r="444" spans="7:9">
      <c r="G444" s="156">
        <v>11</v>
      </c>
      <c r="H444" t="s">
        <v>54</v>
      </c>
      <c r="I444" s="166">
        <v>1</v>
      </c>
    </row>
    <row r="445" spans="7:9">
      <c r="G445" s="156">
        <v>74</v>
      </c>
      <c r="H445" t="s">
        <v>426</v>
      </c>
      <c r="I445" s="166">
        <v>1</v>
      </c>
    </row>
    <row r="446" spans="7:9">
      <c r="G446" s="156">
        <v>40</v>
      </c>
      <c r="H446" t="s">
        <v>427</v>
      </c>
      <c r="I446" s="166">
        <v>1</v>
      </c>
    </row>
    <row r="447" spans="7:9">
      <c r="G447" s="156">
        <v>75</v>
      </c>
      <c r="H447" t="s">
        <v>428</v>
      </c>
      <c r="I447" s="166">
        <v>1</v>
      </c>
    </row>
    <row r="448" spans="7:9">
      <c r="G448" s="156">
        <v>48</v>
      </c>
      <c r="H448" t="s">
        <v>429</v>
      </c>
      <c r="I448" s="166">
        <v>1</v>
      </c>
    </row>
    <row r="449" spans="7:9">
      <c r="G449" s="156">
        <v>95</v>
      </c>
      <c r="H449" t="s">
        <v>430</v>
      </c>
      <c r="I449" s="166">
        <v>1</v>
      </c>
    </row>
    <row r="450" spans="7:9">
      <c r="G450" s="156">
        <v>100</v>
      </c>
      <c r="H450" t="s">
        <v>177</v>
      </c>
      <c r="I450" s="166">
        <v>1</v>
      </c>
    </row>
    <row r="451" spans="7:9">
      <c r="G451" s="156">
        <v>54</v>
      </c>
      <c r="H451" t="s">
        <v>431</v>
      </c>
      <c r="I451" s="166">
        <v>1</v>
      </c>
    </row>
    <row r="452" spans="7:9">
      <c r="G452" s="156">
        <v>58</v>
      </c>
      <c r="H452" t="s">
        <v>432</v>
      </c>
      <c r="I452" s="166">
        <v>1</v>
      </c>
    </row>
    <row r="453" spans="7:9">
      <c r="G453" s="156">
        <v>44</v>
      </c>
      <c r="H453" t="s">
        <v>433</v>
      </c>
      <c r="I453" s="166">
        <v>1</v>
      </c>
    </row>
    <row r="454" spans="7:9">
      <c r="G454" s="156">
        <v>29</v>
      </c>
      <c r="H454" t="s">
        <v>434</v>
      </c>
      <c r="I454" s="166">
        <v>1</v>
      </c>
    </row>
    <row r="455" spans="7:9">
      <c r="G455" s="156">
        <v>93</v>
      </c>
      <c r="H455" t="s">
        <v>186</v>
      </c>
      <c r="I455" s="166">
        <v>1</v>
      </c>
    </row>
    <row r="456" spans="7:9">
      <c r="G456" s="156">
        <v>8</v>
      </c>
      <c r="H456" t="s">
        <v>435</v>
      </c>
      <c r="I456" s="166">
        <v>1</v>
      </c>
    </row>
    <row r="457" spans="7:9">
      <c r="G457" s="156">
        <v>17</v>
      </c>
      <c r="H457" t="s">
        <v>436</v>
      </c>
      <c r="I457" s="166">
        <v>1</v>
      </c>
    </row>
    <row r="458" spans="7:9">
      <c r="G458" s="156">
        <v>37</v>
      </c>
      <c r="H458" t="s">
        <v>437</v>
      </c>
      <c r="I458" s="166">
        <v>1</v>
      </c>
    </row>
    <row r="459" spans="7:9">
      <c r="G459" s="156">
        <v>41</v>
      </c>
      <c r="H459" t="s">
        <v>438</v>
      </c>
      <c r="I459" s="166">
        <v>1</v>
      </c>
    </row>
    <row r="460" spans="7:9">
      <c r="G460" s="156">
        <v>73</v>
      </c>
      <c r="H460" t="s">
        <v>439</v>
      </c>
      <c r="I460" s="166">
        <v>1</v>
      </c>
    </row>
    <row r="461" spans="7:9">
      <c r="G461" s="156">
        <v>30</v>
      </c>
      <c r="H461" t="s">
        <v>440</v>
      </c>
      <c r="I461" s="166">
        <v>1</v>
      </c>
    </row>
    <row r="462" spans="7:9">
      <c r="G462" s="156">
        <v>21</v>
      </c>
      <c r="H462" t="s">
        <v>441</v>
      </c>
      <c r="I462" s="166">
        <v>1</v>
      </c>
    </row>
    <row r="463" spans="7:9">
      <c r="G463" s="156">
        <v>1</v>
      </c>
      <c r="H463" t="s">
        <v>389</v>
      </c>
      <c r="I463" s="166">
        <v>1</v>
      </c>
    </row>
    <row r="464" spans="7:9">
      <c r="G464" s="156">
        <v>326</v>
      </c>
      <c r="H464" t="s">
        <v>93</v>
      </c>
      <c r="I464" s="166">
        <v>18</v>
      </c>
    </row>
    <row r="465" spans="7:9">
      <c r="G465" s="156">
        <v>325</v>
      </c>
      <c r="H465" t="s">
        <v>216</v>
      </c>
      <c r="I465" s="166">
        <v>18</v>
      </c>
    </row>
    <row r="466" spans="7:9">
      <c r="G466" s="156">
        <v>324</v>
      </c>
      <c r="H466" t="s">
        <v>58</v>
      </c>
      <c r="I466" s="166">
        <v>18</v>
      </c>
    </row>
    <row r="467" spans="7:9">
      <c r="G467" s="156">
        <v>299</v>
      </c>
      <c r="H467" t="s">
        <v>174</v>
      </c>
      <c r="I467" s="166">
        <v>12</v>
      </c>
    </row>
    <row r="468" spans="7:9">
      <c r="G468" s="156">
        <v>301</v>
      </c>
      <c r="H468" t="s">
        <v>401</v>
      </c>
      <c r="I468" s="166">
        <v>12</v>
      </c>
    </row>
    <row r="469" spans="7:9">
      <c r="G469" s="156">
        <v>295</v>
      </c>
      <c r="H469" t="s">
        <v>243</v>
      </c>
      <c r="I469" s="166">
        <v>12</v>
      </c>
    </row>
    <row r="470" spans="7:9">
      <c r="G470" s="156">
        <v>309</v>
      </c>
      <c r="H470" t="s">
        <v>313</v>
      </c>
      <c r="I470" s="166">
        <v>12</v>
      </c>
    </row>
    <row r="471" spans="7:9">
      <c r="G471" s="156">
        <v>298</v>
      </c>
      <c r="H471" t="s">
        <v>238</v>
      </c>
      <c r="I471" s="166">
        <v>12</v>
      </c>
    </row>
    <row r="472" spans="7:9">
      <c r="G472" s="156">
        <v>296</v>
      </c>
      <c r="H472" t="s">
        <v>235</v>
      </c>
      <c r="I472" s="166">
        <v>12</v>
      </c>
    </row>
    <row r="473" spans="7:9">
      <c r="G473" s="156">
        <v>310</v>
      </c>
      <c r="H473" t="s">
        <v>269</v>
      </c>
      <c r="I473" s="166">
        <v>12</v>
      </c>
    </row>
    <row r="474" spans="7:9">
      <c r="G474" s="156">
        <v>314</v>
      </c>
      <c r="H474" t="s">
        <v>58</v>
      </c>
      <c r="I474" s="166">
        <v>12</v>
      </c>
    </row>
    <row r="475" spans="7:9">
      <c r="G475" s="156">
        <v>313</v>
      </c>
      <c r="H475" t="s">
        <v>442</v>
      </c>
      <c r="I475" s="166">
        <v>12</v>
      </c>
    </row>
    <row r="476" spans="7:9">
      <c r="G476" s="156">
        <v>308</v>
      </c>
      <c r="H476" t="s">
        <v>443</v>
      </c>
      <c r="I476" s="166">
        <v>12</v>
      </c>
    </row>
    <row r="477" spans="7:9">
      <c r="G477" s="156">
        <v>291</v>
      </c>
      <c r="H477" t="s">
        <v>444</v>
      </c>
      <c r="I477" s="166">
        <v>12</v>
      </c>
    </row>
    <row r="478" spans="7:9">
      <c r="G478" s="156">
        <v>307</v>
      </c>
      <c r="H478" t="s">
        <v>445</v>
      </c>
      <c r="I478" s="166">
        <v>12</v>
      </c>
    </row>
    <row r="479" spans="7:9">
      <c r="G479" s="156">
        <v>305</v>
      </c>
      <c r="H479" t="s">
        <v>138</v>
      </c>
      <c r="I479" s="166">
        <v>12</v>
      </c>
    </row>
    <row r="480" spans="7:9">
      <c r="G480" s="156">
        <v>292</v>
      </c>
      <c r="H480" t="s">
        <v>446</v>
      </c>
      <c r="I480" s="166">
        <v>12</v>
      </c>
    </row>
    <row r="481" spans="7:9">
      <c r="G481" s="156">
        <v>311</v>
      </c>
      <c r="H481" t="s">
        <v>52</v>
      </c>
      <c r="I481" s="166">
        <v>12</v>
      </c>
    </row>
    <row r="482" spans="7:9">
      <c r="G482" s="156">
        <v>300</v>
      </c>
      <c r="H482" t="s">
        <v>166</v>
      </c>
      <c r="I482" s="166">
        <v>12</v>
      </c>
    </row>
    <row r="483" spans="7:9">
      <c r="G483" s="156">
        <v>297</v>
      </c>
      <c r="H483" t="s">
        <v>173</v>
      </c>
      <c r="I483" s="166">
        <v>12</v>
      </c>
    </row>
    <row r="484" spans="7:9">
      <c r="G484" s="156">
        <v>312</v>
      </c>
      <c r="H484" t="s">
        <v>54</v>
      </c>
      <c r="I484" s="166">
        <v>12</v>
      </c>
    </row>
    <row r="485" spans="7:9">
      <c r="G485" s="156">
        <v>302</v>
      </c>
      <c r="H485" t="s">
        <v>124</v>
      </c>
      <c r="I485" s="166">
        <v>12</v>
      </c>
    </row>
    <row r="486" spans="7:9">
      <c r="G486" s="156">
        <v>303</v>
      </c>
      <c r="H486" t="s">
        <v>175</v>
      </c>
      <c r="I486" s="166">
        <v>12</v>
      </c>
    </row>
    <row r="487" spans="7:9">
      <c r="G487" s="156">
        <v>294</v>
      </c>
      <c r="H487" t="s">
        <v>56</v>
      </c>
      <c r="I487" s="166">
        <v>12</v>
      </c>
    </row>
    <row r="488" spans="7:9">
      <c r="G488" s="156">
        <v>304</v>
      </c>
      <c r="H488" t="s">
        <v>190</v>
      </c>
      <c r="I488" s="166">
        <v>12</v>
      </c>
    </row>
    <row r="489" spans="7:9">
      <c r="G489" s="156">
        <v>306</v>
      </c>
      <c r="H489" t="s">
        <v>43</v>
      </c>
      <c r="I489" s="166">
        <v>12</v>
      </c>
    </row>
    <row r="490" spans="7:9">
      <c r="G490" s="156">
        <v>293</v>
      </c>
      <c r="H490" t="s">
        <v>447</v>
      </c>
      <c r="I490" s="166">
        <v>12</v>
      </c>
    </row>
    <row r="491" spans="7:9">
      <c r="G491" s="156">
        <v>288</v>
      </c>
      <c r="H491" t="s">
        <v>68</v>
      </c>
      <c r="I491" s="166">
        <v>12</v>
      </c>
    </row>
    <row r="492" spans="7:9">
      <c r="G492" s="156">
        <v>289</v>
      </c>
      <c r="H492" t="s">
        <v>216</v>
      </c>
      <c r="I492" s="166">
        <v>12</v>
      </c>
    </row>
    <row r="493" spans="7:9">
      <c r="G493" s="156">
        <v>290</v>
      </c>
      <c r="H493" t="s">
        <v>448</v>
      </c>
      <c r="I493" s="166">
        <v>12</v>
      </c>
    </row>
    <row r="494" spans="7:9">
      <c r="G494" s="156">
        <v>373</v>
      </c>
      <c r="H494" t="s">
        <v>48</v>
      </c>
      <c r="I494" s="166">
        <v>41</v>
      </c>
    </row>
    <row r="495" spans="7:9">
      <c r="G495" s="156">
        <v>377</v>
      </c>
      <c r="H495" t="s">
        <v>449</v>
      </c>
      <c r="I495" s="166">
        <v>41</v>
      </c>
    </row>
    <row r="496" spans="7:9">
      <c r="G496" s="156">
        <v>376</v>
      </c>
      <c r="H496" t="s">
        <v>208</v>
      </c>
      <c r="I496" s="166">
        <v>41</v>
      </c>
    </row>
    <row r="497" spans="7:9">
      <c r="G497" s="156">
        <v>372</v>
      </c>
      <c r="H497" t="s">
        <v>450</v>
      </c>
      <c r="I497" s="166">
        <v>41</v>
      </c>
    </row>
    <row r="498" spans="7:9">
      <c r="G498" s="156">
        <v>370</v>
      </c>
      <c r="H498" t="s">
        <v>58</v>
      </c>
      <c r="I498" s="166">
        <v>41</v>
      </c>
    </row>
    <row r="499" spans="7:9">
      <c r="G499" s="156">
        <v>371</v>
      </c>
      <c r="H499" t="s">
        <v>451</v>
      </c>
      <c r="I499" s="166">
        <v>41</v>
      </c>
    </row>
    <row r="500" spans="7:9">
      <c r="G500" s="156">
        <v>368</v>
      </c>
      <c r="H500" t="s">
        <v>452</v>
      </c>
      <c r="I500" s="166">
        <v>41</v>
      </c>
    </row>
    <row r="501" spans="7:9">
      <c r="G501" s="156">
        <v>367</v>
      </c>
      <c r="H501" t="s">
        <v>453</v>
      </c>
      <c r="I501" s="166">
        <v>41</v>
      </c>
    </row>
    <row r="502" spans="7:9">
      <c r="G502" s="156">
        <v>375</v>
      </c>
      <c r="H502" t="s">
        <v>454</v>
      </c>
      <c r="I502" s="166">
        <v>41</v>
      </c>
    </row>
    <row r="503" spans="7:9">
      <c r="G503" s="156">
        <v>374</v>
      </c>
      <c r="H503" t="s">
        <v>455</v>
      </c>
      <c r="I503" s="166">
        <v>41</v>
      </c>
    </row>
    <row r="504" spans="7:9">
      <c r="G504" s="156">
        <v>369</v>
      </c>
      <c r="H504" t="s">
        <v>456</v>
      </c>
      <c r="I504" s="166">
        <v>41</v>
      </c>
    </row>
    <row r="505" spans="7:9">
      <c r="G505" s="156">
        <v>317</v>
      </c>
      <c r="H505" t="s">
        <v>52</v>
      </c>
      <c r="I505" s="166">
        <v>14</v>
      </c>
    </row>
    <row r="506" spans="7:9">
      <c r="G506" s="156">
        <v>316</v>
      </c>
      <c r="H506" t="s">
        <v>269</v>
      </c>
      <c r="I506" s="166">
        <v>14</v>
      </c>
    </row>
    <row r="507" spans="7:9">
      <c r="G507" s="156">
        <v>315</v>
      </c>
      <c r="H507" t="s">
        <v>457</v>
      </c>
      <c r="I507" s="166">
        <v>14</v>
      </c>
    </row>
    <row r="508" spans="7:9">
      <c r="G508" s="156">
        <v>318</v>
      </c>
      <c r="H508" t="s">
        <v>342</v>
      </c>
      <c r="I508" s="166">
        <v>14</v>
      </c>
    </row>
    <row r="509" spans="7:9">
      <c r="G509" s="156">
        <v>385</v>
      </c>
      <c r="H509" t="s">
        <v>58</v>
      </c>
      <c r="I509" s="166">
        <v>50</v>
      </c>
    </row>
    <row r="510" spans="7:9">
      <c r="G510" s="156">
        <v>386</v>
      </c>
      <c r="H510" t="s">
        <v>60</v>
      </c>
      <c r="I510" s="166">
        <v>50</v>
      </c>
    </row>
    <row r="511" spans="7:9">
      <c r="G511" s="156">
        <v>247</v>
      </c>
      <c r="H511" t="s">
        <v>60</v>
      </c>
      <c r="I511" s="166">
        <v>10</v>
      </c>
    </row>
    <row r="512" spans="7:9">
      <c r="G512" s="156">
        <v>246</v>
      </c>
      <c r="H512" t="s">
        <v>246</v>
      </c>
      <c r="I512" s="166">
        <v>10</v>
      </c>
    </row>
    <row r="513" spans="7:9">
      <c r="G513" s="156">
        <v>245</v>
      </c>
      <c r="H513" t="s">
        <v>277</v>
      </c>
      <c r="I513" s="166">
        <v>10</v>
      </c>
    </row>
    <row r="514" spans="7:9">
      <c r="G514" s="156">
        <v>244</v>
      </c>
      <c r="H514" t="s">
        <v>58</v>
      </c>
      <c r="I514" s="166">
        <v>10</v>
      </c>
    </row>
    <row r="515" spans="7:9">
      <c r="G515" s="156">
        <v>248</v>
      </c>
      <c r="H515" t="s">
        <v>458</v>
      </c>
      <c r="I515" s="166">
        <v>10</v>
      </c>
    </row>
    <row r="516" spans="7:9">
      <c r="G516" s="156">
        <v>813</v>
      </c>
      <c r="H516" t="s">
        <v>459</v>
      </c>
      <c r="I516" s="166">
        <v>338</v>
      </c>
    </row>
    <row r="517" spans="7:9">
      <c r="G517" s="156">
        <v>405</v>
      </c>
      <c r="H517" t="s">
        <v>58</v>
      </c>
      <c r="I517" s="166">
        <v>58</v>
      </c>
    </row>
    <row r="518" spans="7:9">
      <c r="G518" s="156">
        <v>406</v>
      </c>
      <c r="H518" t="s">
        <v>246</v>
      </c>
      <c r="I518" s="166">
        <v>58</v>
      </c>
    </row>
    <row r="519" spans="7:9">
      <c r="G519" s="156">
        <v>408</v>
      </c>
      <c r="H519" t="s">
        <v>60</v>
      </c>
      <c r="I519" s="166">
        <v>58</v>
      </c>
    </row>
    <row r="520" spans="7:9">
      <c r="G520" s="156">
        <v>407</v>
      </c>
      <c r="H520" t="s">
        <v>457</v>
      </c>
      <c r="I520" s="166">
        <v>58</v>
      </c>
    </row>
    <row r="521" spans="7:9">
      <c r="G521" s="156">
        <v>348</v>
      </c>
      <c r="H521" t="s">
        <v>58</v>
      </c>
      <c r="I521" s="166">
        <v>31</v>
      </c>
    </row>
    <row r="522" spans="7:9">
      <c r="G522" s="156">
        <v>349</v>
      </c>
      <c r="H522" t="s">
        <v>43</v>
      </c>
      <c r="I522" s="166">
        <v>31</v>
      </c>
    </row>
    <row r="523" spans="7:9">
      <c r="G523" s="156">
        <v>104</v>
      </c>
      <c r="H523" t="s">
        <v>174</v>
      </c>
      <c r="I523" s="166">
        <v>2</v>
      </c>
    </row>
    <row r="524" spans="7:9">
      <c r="G524" s="156">
        <v>123</v>
      </c>
      <c r="H524" t="s">
        <v>428</v>
      </c>
      <c r="I524" s="166">
        <v>2</v>
      </c>
    </row>
    <row r="525" spans="7:9">
      <c r="G525" s="156">
        <v>115</v>
      </c>
      <c r="H525" t="s">
        <v>176</v>
      </c>
      <c r="I525" s="166">
        <v>2</v>
      </c>
    </row>
    <row r="526" spans="7:9">
      <c r="G526" s="156">
        <v>121</v>
      </c>
      <c r="H526" t="s">
        <v>177</v>
      </c>
      <c r="I526" s="166">
        <v>2</v>
      </c>
    </row>
    <row r="527" spans="7:9">
      <c r="G527" s="156">
        <v>127</v>
      </c>
      <c r="H527" t="s">
        <v>272</v>
      </c>
      <c r="I527" s="166">
        <v>2</v>
      </c>
    </row>
    <row r="528" spans="7:9">
      <c r="G528" s="156">
        <v>116</v>
      </c>
      <c r="H528" t="s">
        <v>56</v>
      </c>
      <c r="I528" s="166">
        <v>2</v>
      </c>
    </row>
    <row r="529" spans="7:9">
      <c r="G529" s="156">
        <v>105</v>
      </c>
      <c r="H529" t="s">
        <v>460</v>
      </c>
      <c r="I529" s="166">
        <v>2</v>
      </c>
    </row>
    <row r="530" spans="7:9">
      <c r="G530" s="156">
        <v>106</v>
      </c>
      <c r="H530" t="s">
        <v>68</v>
      </c>
      <c r="I530" s="166">
        <v>2</v>
      </c>
    </row>
    <row r="531" spans="7:9">
      <c r="G531" s="156">
        <v>131</v>
      </c>
      <c r="H531" t="s">
        <v>461</v>
      </c>
      <c r="I531" s="166">
        <v>2</v>
      </c>
    </row>
    <row r="532" spans="7:9">
      <c r="G532" s="156">
        <v>107</v>
      </c>
      <c r="H532" t="s">
        <v>216</v>
      </c>
      <c r="I532" s="166">
        <v>2</v>
      </c>
    </row>
    <row r="533" spans="7:9">
      <c r="G533" s="156">
        <v>108</v>
      </c>
      <c r="H533" t="s">
        <v>462</v>
      </c>
      <c r="I533" s="166">
        <v>2</v>
      </c>
    </row>
    <row r="534" spans="7:9">
      <c r="G534" s="156">
        <v>109</v>
      </c>
      <c r="H534" t="s">
        <v>68</v>
      </c>
      <c r="I534" s="166">
        <v>2</v>
      </c>
    </row>
    <row r="535" spans="7:9">
      <c r="G535" s="156">
        <v>114</v>
      </c>
      <c r="H535" t="s">
        <v>60</v>
      </c>
      <c r="I535" s="166">
        <v>2</v>
      </c>
    </row>
    <row r="536" spans="7:9">
      <c r="G536" s="156">
        <v>117</v>
      </c>
      <c r="H536" t="s">
        <v>448</v>
      </c>
      <c r="I536" s="166">
        <v>2</v>
      </c>
    </row>
    <row r="537" spans="7:9">
      <c r="G537" s="156">
        <v>119</v>
      </c>
      <c r="H537" t="s">
        <v>62</v>
      </c>
      <c r="I537" s="166">
        <v>2</v>
      </c>
    </row>
    <row r="538" spans="7:9">
      <c r="G538" s="156">
        <v>124</v>
      </c>
      <c r="H538" t="s">
        <v>225</v>
      </c>
      <c r="I538" s="166">
        <v>2</v>
      </c>
    </row>
    <row r="539" spans="7:9">
      <c r="G539" s="156">
        <v>125</v>
      </c>
      <c r="H539" t="s">
        <v>463</v>
      </c>
      <c r="I539" s="166">
        <v>2</v>
      </c>
    </row>
    <row r="540" spans="7:9">
      <c r="G540" s="156">
        <v>128</v>
      </c>
      <c r="H540" t="s">
        <v>464</v>
      </c>
      <c r="I540" s="166">
        <v>2</v>
      </c>
    </row>
    <row r="541" spans="7:9">
      <c r="G541" s="156">
        <v>129</v>
      </c>
      <c r="H541" t="s">
        <v>132</v>
      </c>
      <c r="I541" s="166">
        <v>2</v>
      </c>
    </row>
    <row r="542" spans="7:9">
      <c r="G542" s="156">
        <v>130</v>
      </c>
      <c r="H542" t="s">
        <v>465</v>
      </c>
      <c r="I542" s="166">
        <v>2</v>
      </c>
    </row>
    <row r="543" spans="7:9">
      <c r="G543" s="156">
        <v>132</v>
      </c>
      <c r="H543" t="s">
        <v>217</v>
      </c>
      <c r="I543" s="166">
        <v>2</v>
      </c>
    </row>
    <row r="544" spans="7:9">
      <c r="G544" s="156">
        <v>133</v>
      </c>
      <c r="H544" t="s">
        <v>215</v>
      </c>
      <c r="I544" s="166">
        <v>2</v>
      </c>
    </row>
    <row r="545" spans="7:9">
      <c r="G545" s="156">
        <v>134</v>
      </c>
      <c r="H545" t="s">
        <v>58</v>
      </c>
      <c r="I545" s="166">
        <v>2</v>
      </c>
    </row>
    <row r="546" spans="7:9">
      <c r="G546" s="156">
        <v>135</v>
      </c>
      <c r="H546" t="s">
        <v>466</v>
      </c>
      <c r="I546" s="166">
        <v>2</v>
      </c>
    </row>
    <row r="547" spans="7:9">
      <c r="G547" s="156">
        <v>136</v>
      </c>
      <c r="H547" t="s">
        <v>260</v>
      </c>
      <c r="I547" s="166">
        <v>2</v>
      </c>
    </row>
    <row r="548" spans="7:9">
      <c r="G548" s="156">
        <v>110</v>
      </c>
      <c r="H548" t="s">
        <v>269</v>
      </c>
      <c r="I548" s="166">
        <v>2</v>
      </c>
    </row>
    <row r="549" spans="7:9">
      <c r="G549" s="156">
        <v>111</v>
      </c>
      <c r="H549" t="s">
        <v>234</v>
      </c>
      <c r="I549" s="166">
        <v>2</v>
      </c>
    </row>
    <row r="550" spans="7:9">
      <c r="G550" s="156">
        <v>112</v>
      </c>
      <c r="H550" t="s">
        <v>238</v>
      </c>
      <c r="I550" s="166">
        <v>2</v>
      </c>
    </row>
    <row r="551" spans="7:9">
      <c r="G551" s="156">
        <v>113</v>
      </c>
      <c r="H551" t="s">
        <v>108</v>
      </c>
      <c r="I551" s="166">
        <v>2</v>
      </c>
    </row>
    <row r="552" spans="7:9">
      <c r="G552" s="156">
        <v>126</v>
      </c>
      <c r="H552" t="s">
        <v>467</v>
      </c>
      <c r="I552" s="166">
        <v>2</v>
      </c>
    </row>
    <row r="553" spans="7:9">
      <c r="G553" s="156">
        <v>103</v>
      </c>
      <c r="H553" t="s">
        <v>54</v>
      </c>
      <c r="I553" s="166">
        <v>2</v>
      </c>
    </row>
    <row r="554" spans="7:9">
      <c r="G554" s="156">
        <v>137</v>
      </c>
      <c r="H554" t="s">
        <v>280</v>
      </c>
      <c r="I554" s="166">
        <v>2</v>
      </c>
    </row>
    <row r="555" spans="7:9">
      <c r="G555" s="156">
        <v>118</v>
      </c>
      <c r="H555" t="s">
        <v>171</v>
      </c>
      <c r="I555" s="166">
        <v>2</v>
      </c>
    </row>
    <row r="556" spans="7:9">
      <c r="G556" s="156">
        <v>102</v>
      </c>
      <c r="H556" t="s">
        <v>166</v>
      </c>
      <c r="I556" s="166">
        <v>2</v>
      </c>
    </row>
    <row r="557" spans="7:9">
      <c r="G557" s="156">
        <v>122</v>
      </c>
      <c r="H557" t="s">
        <v>468</v>
      </c>
      <c r="I557" s="166">
        <v>2</v>
      </c>
    </row>
    <row r="558" spans="7:9">
      <c r="G558" s="156">
        <v>101</v>
      </c>
      <c r="H558" t="s">
        <v>52</v>
      </c>
      <c r="I558" s="166">
        <v>2</v>
      </c>
    </row>
    <row r="559" spans="7:9">
      <c r="G559" s="156">
        <v>120</v>
      </c>
      <c r="H559" t="s">
        <v>160</v>
      </c>
      <c r="I559" s="166">
        <v>2</v>
      </c>
    </row>
    <row r="560" spans="7:9">
      <c r="G560" s="156">
        <v>343</v>
      </c>
      <c r="H560" t="s">
        <v>52</v>
      </c>
      <c r="I560" s="166">
        <v>26</v>
      </c>
    </row>
    <row r="561" spans="6:10">
      <c r="G561" s="156">
        <v>344</v>
      </c>
      <c r="H561" t="s">
        <v>269</v>
      </c>
      <c r="I561" s="166">
        <v>26</v>
      </c>
    </row>
    <row r="562" spans="6:10">
      <c r="G562" s="156">
        <v>341</v>
      </c>
      <c r="H562" t="s">
        <v>58</v>
      </c>
      <c r="I562" s="166">
        <v>26</v>
      </c>
    </row>
    <row r="563" spans="6:10">
      <c r="G563" s="156">
        <v>342</v>
      </c>
      <c r="H563" t="s">
        <v>43</v>
      </c>
      <c r="I563" s="166">
        <v>26</v>
      </c>
    </row>
    <row r="564" spans="6:10">
      <c r="G564" s="156">
        <v>394</v>
      </c>
      <c r="H564" t="s">
        <v>58</v>
      </c>
      <c r="I564" s="166">
        <v>54</v>
      </c>
    </row>
    <row r="565" spans="6:10">
      <c r="F565" s="147"/>
      <c r="G565" s="158">
        <v>395</v>
      </c>
      <c r="H565" s="158" t="s">
        <v>54</v>
      </c>
      <c r="I565" s="158">
        <v>54</v>
      </c>
      <c r="J565" s="146"/>
    </row>
  </sheetData>
  <sheetProtection password="94AB" sheet="1" objects="1" scenarios="1" selectLockedCells="1"/>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sheetPr codeName="Sheet4"/>
  <dimension ref="A1:N35"/>
  <sheetViews>
    <sheetView workbookViewId="0">
      <selection activeCell="E2" sqref="E2"/>
    </sheetView>
  </sheetViews>
  <sheetFormatPr defaultColWidth="9.140625" defaultRowHeight="16.5"/>
  <cols>
    <col min="1" max="1" width="31.42578125" style="34" customWidth="1"/>
    <col min="2" max="2" width="54.5703125" style="1" customWidth="1"/>
    <col min="3" max="3" width="15" style="1" customWidth="1"/>
    <col min="4" max="4" width="10.5703125" style="1" customWidth="1"/>
    <col min="5" max="5" width="54" style="1" customWidth="1"/>
    <col min="6" max="6" width="72" style="1" customWidth="1"/>
    <col min="7" max="7" width="34.5703125" style="1" customWidth="1"/>
    <col min="8" max="8" width="48.5703125" style="1" customWidth="1"/>
    <col min="9" max="9" width="21.140625" style="1" customWidth="1"/>
    <col min="10" max="10" width="35.140625" style="1" customWidth="1"/>
    <col min="11" max="11" width="7.42578125" style="1" customWidth="1"/>
    <col min="12" max="12" width="8.5703125" style="1" customWidth="1"/>
    <col min="13" max="13" width="58.42578125" style="1" customWidth="1"/>
    <col min="14" max="14" width="44.85546875" style="1" customWidth="1"/>
    <col min="15" max="16384" width="9.140625" style="1"/>
  </cols>
  <sheetData>
    <row r="1" spans="1:14">
      <c r="A1" s="35" t="s">
        <v>469</v>
      </c>
      <c r="B1" s="36" t="s">
        <v>470</v>
      </c>
      <c r="C1" s="37" t="s">
        <v>471</v>
      </c>
      <c r="D1" s="36" t="s">
        <v>472</v>
      </c>
      <c r="E1" s="36" t="s">
        <v>473</v>
      </c>
      <c r="F1" s="36" t="s">
        <v>474</v>
      </c>
      <c r="G1" s="36" t="s">
        <v>475</v>
      </c>
      <c r="H1" s="36" t="s">
        <v>474</v>
      </c>
      <c r="I1" s="36" t="s">
        <v>476</v>
      </c>
      <c r="J1" s="36" t="s">
        <v>474</v>
      </c>
      <c r="K1" s="36"/>
      <c r="L1" s="36"/>
      <c r="M1" s="36" t="s">
        <v>477</v>
      </c>
      <c r="N1" s="36"/>
    </row>
    <row r="2" spans="1:14" ht="15.75" customHeight="1">
      <c r="A2" s="171" t="s">
        <v>478</v>
      </c>
      <c r="B2" s="172" t="s">
        <v>479</v>
      </c>
      <c r="C2" s="160">
        <v>15</v>
      </c>
      <c r="D2" s="160" t="s">
        <v>66</v>
      </c>
      <c r="E2" s="160" t="s">
        <v>480</v>
      </c>
      <c r="F2" s="160" t="str">
        <f>CONCATENATE(B2," is Mandatory field.")</f>
        <v>Personal Identification Number is Mandatory field.</v>
      </c>
      <c r="G2" s="160" t="s">
        <v>481</v>
      </c>
      <c r="H2" s="173" t="s">
        <v>482</v>
      </c>
      <c r="I2" s="160" t="s">
        <v>483</v>
      </c>
      <c r="J2" s="160" t="str">
        <f>CONCATENATE("Please Enter Data upto ",C2," Length only.")</f>
        <v>Please Enter Data upto 15 Length only.</v>
      </c>
      <c r="K2" s="160"/>
      <c r="L2" s="160"/>
      <c r="M2" s="145" t="s">
        <v>484</v>
      </c>
    </row>
    <row r="3" spans="1:14">
      <c r="A3" s="174" t="s">
        <v>478</v>
      </c>
      <c r="B3" s="38" t="s">
        <v>485</v>
      </c>
      <c r="C3" s="1">
        <v>15</v>
      </c>
      <c r="D3" s="1" t="s">
        <v>66</v>
      </c>
      <c r="E3" s="1" t="s">
        <v>486</v>
      </c>
      <c r="F3" s="1" t="str">
        <f>CONCATENATE(B3," is Mandatory field.")</f>
        <v>Type of Return is Mandatory field.</v>
      </c>
      <c r="G3" s="1" t="s">
        <v>487</v>
      </c>
      <c r="H3" s="1" t="str">
        <f>CONCATENATE("Please Enter ",B3," in proper format.")</f>
        <v>Please Enter Type of Return in proper format.</v>
      </c>
      <c r="I3" s="1" t="s">
        <v>488</v>
      </c>
      <c r="J3" s="1" t="str">
        <f t="shared" ref="J3:J25" si="0">CONCATENATE("Please Enter Data upto ",C3," Length only.")</f>
        <v>Please Enter Data upto 15 Length only.</v>
      </c>
      <c r="M3" s="147" t="s">
        <v>484</v>
      </c>
    </row>
    <row r="4" spans="1:14">
      <c r="A4" s="174" t="s">
        <v>478</v>
      </c>
      <c r="B4" s="38" t="s">
        <v>180</v>
      </c>
      <c r="D4" s="1" t="s">
        <v>66</v>
      </c>
      <c r="E4" s="1" t="s">
        <v>489</v>
      </c>
      <c r="F4" s="1" t="str">
        <f>CONCATENATE(B4," is Mandatory field.")</f>
        <v>Entity Type is Mandatory field.</v>
      </c>
      <c r="M4" s="147" t="s">
        <v>484</v>
      </c>
    </row>
    <row r="5" spans="1:14">
      <c r="A5" s="174" t="s">
        <v>478</v>
      </c>
      <c r="B5" s="38" t="s">
        <v>490</v>
      </c>
      <c r="D5" s="1" t="s">
        <v>66</v>
      </c>
      <c r="E5" s="1" t="s">
        <v>491</v>
      </c>
      <c r="F5" s="1" t="str">
        <f>CONCATENATE(B5," is Mandatory field.")</f>
        <v>Return Period From is Mandatory field.</v>
      </c>
      <c r="M5" s="147" t="s">
        <v>484</v>
      </c>
    </row>
    <row r="6" spans="1:14">
      <c r="A6" s="175" t="s">
        <v>478</v>
      </c>
      <c r="B6" s="176" t="s">
        <v>492</v>
      </c>
      <c r="C6" s="157"/>
      <c r="D6" s="157" t="s">
        <v>66</v>
      </c>
      <c r="E6" s="157" t="s">
        <v>493</v>
      </c>
      <c r="F6" s="157" t="str">
        <f>CONCATENATE(B6," is Mandatory field.")</f>
        <v>Return Period To is Mandatory field.</v>
      </c>
      <c r="G6" s="157"/>
      <c r="H6" s="157"/>
      <c r="I6" s="157"/>
      <c r="J6" s="157"/>
      <c r="K6" s="157"/>
      <c r="L6" s="157"/>
      <c r="M6" s="149" t="s">
        <v>484</v>
      </c>
    </row>
    <row r="7" spans="1:14">
      <c r="A7" s="171" t="s">
        <v>1142</v>
      </c>
      <c r="B7" s="177" t="s">
        <v>494</v>
      </c>
      <c r="C7" s="160">
        <v>15</v>
      </c>
      <c r="D7" s="160" t="s">
        <v>63</v>
      </c>
      <c r="E7" s="160" t="s">
        <v>495</v>
      </c>
      <c r="F7" s="160" t="str">
        <f t="shared" ref="F7:F31" si="1">CONCATENATE(B7," is Mandatory field.")</f>
        <v>Total Sales is Mandatory field.</v>
      </c>
      <c r="G7" s="160" t="s">
        <v>496</v>
      </c>
      <c r="H7" s="160" t="s">
        <v>497</v>
      </c>
      <c r="I7" s="160" t="s">
        <v>498</v>
      </c>
      <c r="J7" s="160" t="str">
        <f t="shared" si="0"/>
        <v>Please Enter Data upto 15 Length only.</v>
      </c>
      <c r="K7" s="160"/>
      <c r="L7" s="160"/>
      <c r="M7" s="145" t="s">
        <v>1115</v>
      </c>
    </row>
    <row r="8" spans="1:14">
      <c r="A8" s="174" t="s">
        <v>1142</v>
      </c>
      <c r="B8" s="40" t="s">
        <v>499</v>
      </c>
      <c r="C8" s="1">
        <v>15</v>
      </c>
      <c r="D8" s="1" t="s">
        <v>63</v>
      </c>
      <c r="E8" s="1" t="s">
        <v>500</v>
      </c>
      <c r="F8" s="1" t="str">
        <f t="shared" si="1"/>
        <v>Total  Output VAT is Mandatory field.</v>
      </c>
      <c r="G8" s="1" t="s">
        <v>501</v>
      </c>
      <c r="H8" s="1" t="s">
        <v>497</v>
      </c>
      <c r="I8" s="1" t="s">
        <v>502</v>
      </c>
      <c r="J8" s="1" t="str">
        <f t="shared" si="0"/>
        <v>Please Enter Data upto 15 Length only.</v>
      </c>
      <c r="M8" s="147" t="s">
        <v>1115</v>
      </c>
    </row>
    <row r="9" spans="1:14">
      <c r="A9" s="174" t="s">
        <v>1142</v>
      </c>
      <c r="B9" s="39" t="s">
        <v>503</v>
      </c>
      <c r="C9" s="1">
        <v>15</v>
      </c>
      <c r="D9" s="1" t="s">
        <v>63</v>
      </c>
      <c r="E9" s="1" t="s">
        <v>504</v>
      </c>
      <c r="F9" s="1" t="str">
        <f t="shared" si="1"/>
        <v>Total Purchases is Mandatory field.</v>
      </c>
      <c r="G9" s="1" t="s">
        <v>505</v>
      </c>
      <c r="H9" s="1" t="s">
        <v>497</v>
      </c>
      <c r="I9" s="1" t="s">
        <v>506</v>
      </c>
      <c r="J9" s="1" t="str">
        <f t="shared" si="0"/>
        <v>Please Enter Data upto 15 Length only.</v>
      </c>
      <c r="M9" s="147" t="s">
        <v>1116</v>
      </c>
    </row>
    <row r="10" spans="1:14">
      <c r="A10" s="175" t="s">
        <v>1142</v>
      </c>
      <c r="B10" s="178" t="s">
        <v>507</v>
      </c>
      <c r="C10" s="157">
        <v>15</v>
      </c>
      <c r="D10" s="157" t="s">
        <v>63</v>
      </c>
      <c r="E10" s="157" t="s">
        <v>508</v>
      </c>
      <c r="F10" s="157" t="str">
        <f t="shared" si="1"/>
        <v>Total Input VAT is Mandatory field.</v>
      </c>
      <c r="G10" s="157" t="s">
        <v>509</v>
      </c>
      <c r="H10" s="157" t="s">
        <v>497</v>
      </c>
      <c r="I10" s="157" t="s">
        <v>510</v>
      </c>
      <c r="J10" s="157" t="str">
        <f t="shared" si="0"/>
        <v>Please Enter Data upto 15 Length only.</v>
      </c>
      <c r="K10" s="157"/>
      <c r="L10" s="157"/>
      <c r="M10" s="149" t="s">
        <v>1116</v>
      </c>
    </row>
    <row r="11" spans="1:14">
      <c r="A11" s="171" t="s">
        <v>1143</v>
      </c>
      <c r="B11" s="177" t="s">
        <v>511</v>
      </c>
      <c r="C11" s="160">
        <v>15</v>
      </c>
      <c r="D11" s="160" t="s">
        <v>63</v>
      </c>
      <c r="E11" s="160" t="s">
        <v>500</v>
      </c>
      <c r="F11" s="160" t="str">
        <f t="shared" si="1"/>
        <v>Output VAT is Mandatory field.</v>
      </c>
      <c r="G11" s="160" t="s">
        <v>501</v>
      </c>
      <c r="H11" s="160" t="s">
        <v>497</v>
      </c>
      <c r="I11" s="160" t="s">
        <v>502</v>
      </c>
      <c r="J11" s="160" t="str">
        <f t="shared" si="0"/>
        <v>Please Enter Data upto 15 Length only.</v>
      </c>
      <c r="K11" s="160"/>
      <c r="L11" s="160"/>
      <c r="M11" s="149" t="s">
        <v>1138</v>
      </c>
    </row>
    <row r="12" spans="1:14">
      <c r="A12" s="174" t="s">
        <v>1143</v>
      </c>
      <c r="B12" s="39" t="s">
        <v>512</v>
      </c>
      <c r="C12" s="1">
        <v>15</v>
      </c>
      <c r="D12" s="1" t="s">
        <v>63</v>
      </c>
      <c r="E12" s="1" t="s">
        <v>508</v>
      </c>
      <c r="F12" s="1" t="str">
        <f>CONCATENATE(B12," is Mandatory field.")</f>
        <v>Input VAT is Mandatory field.</v>
      </c>
      <c r="G12" s="1" t="s">
        <v>509</v>
      </c>
      <c r="H12" s="1" t="s">
        <v>497</v>
      </c>
      <c r="I12" s="1" t="s">
        <v>510</v>
      </c>
      <c r="J12" s="1" t="str">
        <f>CONCATENATE("Please Enter Data upto ",C12," Length only.")</f>
        <v>Please Enter Data upto 15 Length only.</v>
      </c>
      <c r="M12" s="147" t="s">
        <v>1138</v>
      </c>
    </row>
    <row r="13" spans="1:14" ht="48">
      <c r="A13" s="174" t="s">
        <v>1143</v>
      </c>
      <c r="B13" s="39" t="s">
        <v>513</v>
      </c>
      <c r="C13" s="1">
        <v>15</v>
      </c>
      <c r="D13" s="1" t="s">
        <v>63</v>
      </c>
      <c r="E13" s="1" t="s">
        <v>514</v>
      </c>
      <c r="F13" s="34" t="str">
        <f>CONCATENATE(B13," is Mandatory field.")</f>
        <v>VAT Claimable on Services Imported into Kenya (Total of "Amount of VAT Claimable" from Schedule 10) is Mandatory field.</v>
      </c>
      <c r="G13" s="1" t="s">
        <v>515</v>
      </c>
      <c r="H13" s="1" t="s">
        <v>497</v>
      </c>
      <c r="I13" s="1" t="s">
        <v>516</v>
      </c>
      <c r="J13" s="1" t="str">
        <f>CONCATENATE("Please Enter Data upto ",C13," Length only.")</f>
        <v>Please Enter Data upto 15 Length only.</v>
      </c>
      <c r="M13" s="149" t="s">
        <v>1138</v>
      </c>
    </row>
    <row r="14" spans="1:14">
      <c r="A14" s="174" t="s">
        <v>1143</v>
      </c>
      <c r="B14" s="39" t="s">
        <v>517</v>
      </c>
      <c r="C14" s="1">
        <v>15</v>
      </c>
      <c r="D14" s="1" t="s">
        <v>63</v>
      </c>
      <c r="E14" s="1" t="s">
        <v>518</v>
      </c>
      <c r="F14" s="1" t="str">
        <f t="shared" si="1"/>
        <v>Input VAT attributable to Only Exempt Supplies is Mandatory field.</v>
      </c>
      <c r="G14" s="1" t="s">
        <v>519</v>
      </c>
      <c r="H14" s="1" t="s">
        <v>497</v>
      </c>
      <c r="I14" s="1" t="s">
        <v>520</v>
      </c>
      <c r="J14" s="1" t="str">
        <f t="shared" si="0"/>
        <v>Please Enter Data upto 15 Length only.</v>
      </c>
      <c r="M14" s="147" t="s">
        <v>1138</v>
      </c>
    </row>
    <row r="15" spans="1:14" ht="32.25">
      <c r="A15" s="174" t="s">
        <v>1143</v>
      </c>
      <c r="B15" s="39" t="s">
        <v>521</v>
      </c>
      <c r="C15" s="1">
        <v>15</v>
      </c>
      <c r="D15" s="1" t="s">
        <v>63</v>
      </c>
      <c r="E15" s="1" t="s">
        <v>522</v>
      </c>
      <c r="F15" s="1" t="str">
        <f t="shared" si="1"/>
        <v>Input VAT attributable to Taxable and Exempt Supplies is Mandatory field.</v>
      </c>
      <c r="G15" s="1" t="s">
        <v>523</v>
      </c>
      <c r="H15" s="1" t="s">
        <v>497</v>
      </c>
      <c r="I15" s="1" t="s">
        <v>524</v>
      </c>
      <c r="J15" s="1" t="str">
        <f>CONCATENATE("Please Enter Data upto ",C15," Length only.")</f>
        <v>Please Enter Data upto 15 Length only.</v>
      </c>
      <c r="M15" s="149" t="s">
        <v>1138</v>
      </c>
    </row>
    <row r="16" spans="1:14">
      <c r="A16" s="174" t="s">
        <v>1143</v>
      </c>
      <c r="B16" s="39" t="s">
        <v>525</v>
      </c>
      <c r="C16" s="1">
        <v>15</v>
      </c>
      <c r="D16" s="1" t="s">
        <v>63</v>
      </c>
      <c r="E16" s="1" t="s">
        <v>526</v>
      </c>
      <c r="F16" s="1" t="str">
        <f>CONCATENATE(B16," is Mandatory field.")</f>
        <v>Less : Non - Deductible Input VAT is Mandatory field.</v>
      </c>
      <c r="G16" s="1" t="s">
        <v>527</v>
      </c>
      <c r="H16" s="1" t="s">
        <v>497</v>
      </c>
      <c r="I16" s="1" t="s">
        <v>528</v>
      </c>
      <c r="J16" s="1" t="str">
        <f t="shared" si="0"/>
        <v>Please Enter Data upto 15 Length only.</v>
      </c>
      <c r="M16" s="147" t="s">
        <v>1138</v>
      </c>
    </row>
    <row r="17" spans="1:13">
      <c r="A17" s="174" t="s">
        <v>1143</v>
      </c>
      <c r="B17" s="39" t="s">
        <v>529</v>
      </c>
      <c r="C17" s="1">
        <v>15</v>
      </c>
      <c r="D17" s="1" t="s">
        <v>63</v>
      </c>
      <c r="E17" s="1" t="s">
        <v>530</v>
      </c>
      <c r="F17" s="1" t="str">
        <f t="shared" si="1"/>
        <v>Deductible Input VAT is Mandatory field.</v>
      </c>
      <c r="G17" s="1" t="s">
        <v>531</v>
      </c>
      <c r="H17" s="1" t="s">
        <v>497</v>
      </c>
      <c r="I17" s="1" t="s">
        <v>532</v>
      </c>
      <c r="J17" s="1" t="str">
        <f t="shared" si="0"/>
        <v>Please Enter Data upto 15 Length only.</v>
      </c>
      <c r="M17" s="149" t="s">
        <v>1138</v>
      </c>
    </row>
    <row r="18" spans="1:13">
      <c r="A18" s="174" t="s">
        <v>1143</v>
      </c>
      <c r="B18" s="39" t="s">
        <v>533</v>
      </c>
      <c r="C18" s="1">
        <v>15</v>
      </c>
      <c r="D18" s="1" t="s">
        <v>63</v>
      </c>
      <c r="E18" s="1" t="s">
        <v>534</v>
      </c>
      <c r="F18" s="1" t="str">
        <f t="shared" si="1"/>
        <v>VAT Payable / Credit Due for the period is Mandatory field.</v>
      </c>
      <c r="G18" s="1" t="s">
        <v>535</v>
      </c>
      <c r="H18" s="1" t="s">
        <v>497</v>
      </c>
      <c r="I18" s="1" t="s">
        <v>536</v>
      </c>
      <c r="J18" s="1" t="str">
        <f t="shared" si="0"/>
        <v>Please Enter Data upto 15 Length only.</v>
      </c>
      <c r="M18" s="147" t="s">
        <v>1138</v>
      </c>
    </row>
    <row r="19" spans="1:13">
      <c r="A19" s="174" t="s">
        <v>1143</v>
      </c>
      <c r="B19" s="39" t="s">
        <v>537</v>
      </c>
      <c r="C19" s="1">
        <v>15</v>
      </c>
      <c r="D19" s="1" t="s">
        <v>63</v>
      </c>
      <c r="E19" s="1" t="s">
        <v>538</v>
      </c>
      <c r="F19" s="1" t="str">
        <f t="shared" si="1"/>
        <v>Credit Brought Forward from previous month is Mandatory field.</v>
      </c>
      <c r="G19" s="1" t="s">
        <v>539</v>
      </c>
      <c r="H19" s="1" t="s">
        <v>497</v>
      </c>
      <c r="I19" s="1" t="s">
        <v>540</v>
      </c>
      <c r="J19" s="1" t="str">
        <f t="shared" si="0"/>
        <v>Please Enter Data upto 15 Length only.</v>
      </c>
      <c r="M19" s="149" t="s">
        <v>1138</v>
      </c>
    </row>
    <row r="20" spans="1:13">
      <c r="A20" s="174" t="s">
        <v>1143</v>
      </c>
      <c r="B20" s="39" t="s">
        <v>541</v>
      </c>
      <c r="C20" s="1">
        <v>15</v>
      </c>
      <c r="D20" s="1" t="s">
        <v>63</v>
      </c>
      <c r="E20" s="1" t="s">
        <v>542</v>
      </c>
      <c r="F20" s="1" t="str">
        <f t="shared" si="1"/>
        <v>Add : Refund Claim Lodged is Mandatory field.</v>
      </c>
      <c r="G20" s="1" t="s">
        <v>543</v>
      </c>
      <c r="H20" s="1" t="s">
        <v>497</v>
      </c>
      <c r="I20" s="1" t="s">
        <v>544</v>
      </c>
      <c r="J20" s="1" t="str">
        <f t="shared" si="0"/>
        <v>Please Enter Data upto 15 Length only.</v>
      </c>
      <c r="M20" s="147" t="s">
        <v>1138</v>
      </c>
    </row>
    <row r="21" spans="1:13" ht="32.25">
      <c r="A21" s="174" t="s">
        <v>1205</v>
      </c>
      <c r="B21" s="39" t="s">
        <v>1141</v>
      </c>
      <c r="C21" s="1">
        <v>15</v>
      </c>
      <c r="D21" s="1" t="s">
        <v>66</v>
      </c>
      <c r="E21" s="1" t="s">
        <v>1206</v>
      </c>
      <c r="F21" s="1" t="str">
        <f t="shared" si="1"/>
        <v>Total Withholding VAT Credit (Total of "Amount of VAT Withheld" from L_WHT_Credits) is Mandatory field.</v>
      </c>
      <c r="G21" s="1" t="s">
        <v>1207</v>
      </c>
      <c r="H21" s="1" t="s">
        <v>497</v>
      </c>
      <c r="J21" s="1" t="str">
        <f t="shared" si="0"/>
        <v>Please Enter Data upto 15 Length only.</v>
      </c>
      <c r="M21" s="147" t="s">
        <v>1138</v>
      </c>
    </row>
    <row r="22" spans="1:13">
      <c r="A22" s="174" t="s">
        <v>1143</v>
      </c>
      <c r="B22" s="39" t="s">
        <v>545</v>
      </c>
      <c r="C22" s="1">
        <v>15</v>
      </c>
      <c r="D22" s="1" t="s">
        <v>63</v>
      </c>
      <c r="E22" s="1" t="s">
        <v>546</v>
      </c>
      <c r="F22" s="1" t="str">
        <f t="shared" si="1"/>
        <v>Total VAT Payable  is Mandatory field.</v>
      </c>
      <c r="G22" s="1" t="s">
        <v>547</v>
      </c>
      <c r="H22" s="1" t="s">
        <v>497</v>
      </c>
      <c r="M22" s="149" t="s">
        <v>1138</v>
      </c>
    </row>
    <row r="23" spans="1:13" ht="33">
      <c r="A23" s="174" t="s">
        <v>1143</v>
      </c>
      <c r="B23" s="39" t="s">
        <v>548</v>
      </c>
      <c r="C23" s="1">
        <v>15</v>
      </c>
      <c r="D23" s="1" t="s">
        <v>63</v>
      </c>
      <c r="E23" s="1" t="s">
        <v>549</v>
      </c>
      <c r="F23" s="34" t="str">
        <f t="shared" si="1"/>
        <v>Total VAT Paid (Total of " Amount of VAT Paid" from Schedule 11) is Mandatory field.</v>
      </c>
      <c r="G23" s="1" t="s">
        <v>550</v>
      </c>
      <c r="H23" s="1" t="s">
        <v>497</v>
      </c>
      <c r="I23" s="1" t="s">
        <v>551</v>
      </c>
      <c r="J23" s="1" t="str">
        <f t="shared" si="0"/>
        <v>Please Enter Data upto 15 Length only.</v>
      </c>
      <c r="M23" s="147" t="s">
        <v>1138</v>
      </c>
    </row>
    <row r="24" spans="1:13">
      <c r="A24" s="175" t="s">
        <v>1143</v>
      </c>
      <c r="B24" s="178" t="s">
        <v>552</v>
      </c>
      <c r="C24" s="157">
        <v>15</v>
      </c>
      <c r="D24" s="157" t="s">
        <v>63</v>
      </c>
      <c r="E24" s="157" t="s">
        <v>553</v>
      </c>
      <c r="F24" s="157" t="str">
        <f t="shared" si="1"/>
        <v>Net VAT Payable / Credit Carried Forward  is Mandatory field.</v>
      </c>
      <c r="G24" s="157" t="s">
        <v>554</v>
      </c>
      <c r="H24" s="157" t="s">
        <v>497</v>
      </c>
      <c r="I24" s="157"/>
      <c r="J24" s="157"/>
      <c r="K24" s="157"/>
      <c r="L24" s="157"/>
      <c r="M24" s="149" t="s">
        <v>1138</v>
      </c>
    </row>
    <row r="25" spans="1:13" ht="115.5">
      <c r="A25" s="181" t="s">
        <v>1142</v>
      </c>
      <c r="B25" s="182" t="s">
        <v>507</v>
      </c>
      <c r="C25" s="183">
        <v>15</v>
      </c>
      <c r="D25" s="183" t="s">
        <v>63</v>
      </c>
      <c r="E25" s="183" t="s">
        <v>508</v>
      </c>
      <c r="F25" s="183" t="str">
        <f t="shared" si="1"/>
        <v>Total Input VAT is Mandatory field.</v>
      </c>
      <c r="G25" s="184" t="s">
        <v>555</v>
      </c>
      <c r="H25" s="184" t="s">
        <v>556</v>
      </c>
      <c r="I25" s="183" t="s">
        <v>510</v>
      </c>
      <c r="J25" s="183" t="str">
        <f t="shared" si="0"/>
        <v>Please Enter Data upto 15 Length only.</v>
      </c>
      <c r="K25" s="183"/>
      <c r="L25" s="183"/>
      <c r="M25" s="185" t="s">
        <v>1116</v>
      </c>
    </row>
    <row r="26" spans="1:13" ht="49.5">
      <c r="A26" s="34" t="s">
        <v>1143</v>
      </c>
      <c r="B26" s="39" t="s">
        <v>541</v>
      </c>
      <c r="C26" s="1">
        <v>15</v>
      </c>
      <c r="D26" s="1" t="s">
        <v>63</v>
      </c>
      <c r="E26" s="1" t="s">
        <v>542</v>
      </c>
      <c r="F26" s="1" t="str">
        <f t="shared" si="1"/>
        <v>Add : Refund Claim Lodged is Mandatory field.</v>
      </c>
      <c r="G26" s="1" t="s">
        <v>557</v>
      </c>
      <c r="H26" s="34" t="s">
        <v>558</v>
      </c>
      <c r="M26" s="185" t="s">
        <v>1138</v>
      </c>
    </row>
    <row r="27" spans="1:13" ht="66">
      <c r="A27" s="171" t="s">
        <v>559</v>
      </c>
      <c r="B27" s="177" t="s">
        <v>560</v>
      </c>
      <c r="C27" s="160">
        <v>15</v>
      </c>
      <c r="D27" s="160" t="s">
        <v>66</v>
      </c>
      <c r="E27" s="160" t="s">
        <v>561</v>
      </c>
      <c r="F27" s="160" t="str">
        <f t="shared" si="1"/>
        <v>Section K : Details of VAT Paid is Mandatory field.</v>
      </c>
      <c r="G27" s="160" t="s">
        <v>562</v>
      </c>
      <c r="H27" s="179" t="s">
        <v>563</v>
      </c>
      <c r="I27" s="160"/>
      <c r="J27" s="160"/>
      <c r="K27" s="160"/>
      <c r="L27" s="160"/>
      <c r="M27" s="145" t="s">
        <v>560</v>
      </c>
    </row>
    <row r="28" spans="1:13" ht="115.5">
      <c r="A28" s="174" t="s">
        <v>559</v>
      </c>
      <c r="B28" s="39" t="s">
        <v>560</v>
      </c>
      <c r="C28" s="1">
        <v>15</v>
      </c>
      <c r="D28" s="1" t="s">
        <v>66</v>
      </c>
      <c r="E28" s="1" t="s">
        <v>564</v>
      </c>
      <c r="F28" s="1" t="str">
        <f t="shared" si="1"/>
        <v>Section K : Details of VAT Paid is Mandatory field.</v>
      </c>
      <c r="G28" s="1" t="s">
        <v>565</v>
      </c>
      <c r="H28" s="34" t="s">
        <v>566</v>
      </c>
      <c r="M28" s="147" t="s">
        <v>560</v>
      </c>
    </row>
    <row r="29" spans="1:13" ht="82.5">
      <c r="A29" s="174" t="s">
        <v>559</v>
      </c>
      <c r="B29" s="39" t="s">
        <v>567</v>
      </c>
      <c r="C29" s="1">
        <v>15</v>
      </c>
      <c r="D29" s="1" t="s">
        <v>66</v>
      </c>
      <c r="E29" s="1" t="s">
        <v>549</v>
      </c>
      <c r="F29" s="1" t="str">
        <f t="shared" si="1"/>
        <v>Section K2 : Self Assessment Tax is Mandatory field.</v>
      </c>
      <c r="G29" s="1" t="s">
        <v>568</v>
      </c>
      <c r="H29" s="34" t="s">
        <v>569</v>
      </c>
      <c r="M29" s="147" t="s">
        <v>567</v>
      </c>
    </row>
    <row r="30" spans="1:13" ht="82.5">
      <c r="A30" s="175" t="s">
        <v>559</v>
      </c>
      <c r="B30" s="178" t="s">
        <v>570</v>
      </c>
      <c r="C30" s="157">
        <v>15</v>
      </c>
      <c r="D30" s="157" t="s">
        <v>66</v>
      </c>
      <c r="E30" s="157" t="s">
        <v>561</v>
      </c>
      <c r="F30" s="157" t="str">
        <f t="shared" si="1"/>
        <v>Section K1 : Advance Payment is Mandatory field.</v>
      </c>
      <c r="G30" s="157" t="s">
        <v>571</v>
      </c>
      <c r="H30" s="180" t="s">
        <v>572</v>
      </c>
      <c r="I30" s="157"/>
      <c r="J30" s="157"/>
      <c r="K30" s="157"/>
      <c r="L30" s="157"/>
      <c r="M30" s="149" t="s">
        <v>570</v>
      </c>
    </row>
    <row r="31" spans="1:13" ht="63.75">
      <c r="A31" s="34" t="s">
        <v>1143</v>
      </c>
      <c r="B31" s="39" t="s">
        <v>1110</v>
      </c>
      <c r="C31" s="1">
        <v>15</v>
      </c>
      <c r="D31" s="1" t="s">
        <v>66</v>
      </c>
      <c r="E31" s="1" t="s">
        <v>1233</v>
      </c>
      <c r="F31" s="34" t="str">
        <f t="shared" si="1"/>
        <v>Total Credit Adjustment / Inventory Approval Order (Total of "Credit Adjustment Voucher / Inventory Approval Order Amount" from K_VAT_Payment_Credits ) is Mandatory field.</v>
      </c>
      <c r="H31" s="34"/>
      <c r="M31" s="1" t="s">
        <v>1138</v>
      </c>
    </row>
    <row r="32" spans="1:13">
      <c r="A32" s="34" t="s">
        <v>1143</v>
      </c>
      <c r="B32" s="39" t="s">
        <v>1208</v>
      </c>
      <c r="C32" s="1">
        <v>15</v>
      </c>
      <c r="D32" s="1" t="s">
        <v>66</v>
      </c>
      <c r="E32" s="1" t="s">
        <v>1209</v>
      </c>
      <c r="F32" s="1" t="str">
        <f>CONCATENATE(B32," is Mandatory field.")</f>
        <v>Total Debit Adjustment Voucher is Mandatory field.</v>
      </c>
      <c r="M32" s="1" t="s">
        <v>1138</v>
      </c>
    </row>
    <row r="33" spans="2:2">
      <c r="B33" s="39"/>
    </row>
    <row r="34" spans="2:2">
      <c r="B34" s="39"/>
    </row>
    <row r="35" spans="2:2">
      <c r="B35" s="39"/>
    </row>
  </sheetData>
  <sheetProtection password="94AB"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sheetPr codeName="Sheet5"/>
  <dimension ref="A1:R158"/>
  <sheetViews>
    <sheetView topLeftCell="A141" workbookViewId="0">
      <selection activeCell="C145" sqref="C145"/>
    </sheetView>
  </sheetViews>
  <sheetFormatPr defaultColWidth="9.140625" defaultRowHeight="35.1" customHeight="1"/>
  <cols>
    <col min="1" max="10" width="26.85546875" style="41" customWidth="1"/>
    <col min="11" max="11" width="28" style="41" customWidth="1"/>
    <col min="12" max="12" width="30.5703125" style="41" customWidth="1"/>
    <col min="13" max="13" width="27.140625" customWidth="1"/>
    <col min="14" max="14" width="30.42578125" style="41" customWidth="1"/>
    <col min="15" max="16384" width="9.140625" style="41"/>
  </cols>
  <sheetData>
    <row r="1" spans="1:14" ht="35.1" customHeight="1">
      <c r="A1" s="42" t="s">
        <v>573</v>
      </c>
      <c r="B1" s="42" t="s">
        <v>574</v>
      </c>
      <c r="C1" s="42" t="s">
        <v>574</v>
      </c>
      <c r="D1" s="42" t="s">
        <v>574</v>
      </c>
      <c r="E1" s="42" t="s">
        <v>574</v>
      </c>
      <c r="F1" s="42" t="s">
        <v>574</v>
      </c>
      <c r="G1" s="42" t="s">
        <v>574</v>
      </c>
      <c r="H1" s="42" t="s">
        <v>574</v>
      </c>
      <c r="I1" s="42" t="s">
        <v>574</v>
      </c>
      <c r="J1" s="42" t="s">
        <v>574</v>
      </c>
      <c r="K1" s="42" t="s">
        <v>574</v>
      </c>
      <c r="L1" s="42"/>
      <c r="N1" s="41" t="s">
        <v>575</v>
      </c>
    </row>
    <row r="2" spans="1:14" ht="35.1" customHeight="1">
      <c r="A2" s="42" t="s">
        <v>576</v>
      </c>
      <c r="B2" s="43" t="s">
        <v>577</v>
      </c>
      <c r="C2" s="43" t="s">
        <v>578</v>
      </c>
      <c r="D2" s="43" t="s">
        <v>579</v>
      </c>
      <c r="E2" s="43" t="s">
        <v>580</v>
      </c>
      <c r="F2" s="43" t="s">
        <v>581</v>
      </c>
      <c r="G2" s="43" t="s">
        <v>582</v>
      </c>
      <c r="H2" s="43" t="s">
        <v>583</v>
      </c>
      <c r="I2" s="43" t="s">
        <v>584</v>
      </c>
      <c r="J2" s="42" t="s">
        <v>585</v>
      </c>
      <c r="K2" s="42" t="s">
        <v>586</v>
      </c>
      <c r="N2" s="41" t="s">
        <v>587</v>
      </c>
    </row>
    <row r="3" spans="1:14" ht="35.1" customHeight="1">
      <c r="A3" s="41" t="s">
        <v>472</v>
      </c>
      <c r="B3" s="41" t="s">
        <v>66</v>
      </c>
      <c r="C3" s="41" t="s">
        <v>66</v>
      </c>
      <c r="D3" s="41" t="s">
        <v>63</v>
      </c>
      <c r="E3" s="41" t="s">
        <v>66</v>
      </c>
      <c r="F3" s="41" t="s">
        <v>66</v>
      </c>
      <c r="G3" s="41" t="s">
        <v>66</v>
      </c>
      <c r="H3" s="41" t="s">
        <v>66</v>
      </c>
      <c r="I3" s="41" t="s">
        <v>66</v>
      </c>
      <c r="J3" s="41" t="s">
        <v>66</v>
      </c>
      <c r="K3" s="41" t="s">
        <v>66</v>
      </c>
    </row>
    <row r="4" spans="1:14" ht="35.1" customHeight="1">
      <c r="A4" s="41" t="s">
        <v>471</v>
      </c>
      <c r="B4" s="41">
        <v>11</v>
      </c>
      <c r="C4" s="41">
        <v>50</v>
      </c>
      <c r="D4" s="41">
        <v>20</v>
      </c>
      <c r="E4" s="41">
        <v>10</v>
      </c>
      <c r="F4" s="41">
        <v>40</v>
      </c>
      <c r="G4" s="41">
        <v>200</v>
      </c>
      <c r="H4" s="41">
        <v>15</v>
      </c>
      <c r="I4" s="41">
        <v>15</v>
      </c>
      <c r="J4" s="41">
        <v>40</v>
      </c>
      <c r="K4" s="41">
        <v>10</v>
      </c>
    </row>
    <row r="5" spans="1:14" ht="35.1" customHeight="1">
      <c r="A5" s="41" t="s">
        <v>473</v>
      </c>
      <c r="B5" s="41" t="s">
        <v>588</v>
      </c>
      <c r="C5" s="41" t="s">
        <v>589</v>
      </c>
      <c r="D5" s="41" t="s">
        <v>590</v>
      </c>
      <c r="E5" s="41" t="s">
        <v>591</v>
      </c>
      <c r="F5" s="41" t="s">
        <v>592</v>
      </c>
      <c r="G5" s="41" t="s">
        <v>593</v>
      </c>
      <c r="H5" s="41" t="s">
        <v>594</v>
      </c>
      <c r="I5" s="41" t="s">
        <v>595</v>
      </c>
      <c r="J5" s="41" t="s">
        <v>596</v>
      </c>
      <c r="K5" s="41" t="s">
        <v>597</v>
      </c>
    </row>
    <row r="6" spans="1:14" ht="35.1" customHeight="1">
      <c r="A6" s="41" t="s">
        <v>474</v>
      </c>
      <c r="B6" s="41" t="str">
        <f t="shared" ref="B6:I6" si="0">CONCATENATE(B2," is Mandatory field.")</f>
        <v>PIN of Purchaser is Mandatory field.</v>
      </c>
      <c r="C6" s="41" t="str">
        <f t="shared" si="0"/>
        <v>Name of Purchaser is Mandatory field.</v>
      </c>
      <c r="D6" s="41" t="str">
        <f t="shared" si="0"/>
        <v>ETR Serial Number is Mandatory field.</v>
      </c>
      <c r="E6" s="41" t="str">
        <f t="shared" si="0"/>
        <v>Invoice Date is Mandatory field.</v>
      </c>
      <c r="F6" s="41" t="str">
        <f t="shared" si="0"/>
        <v>Invoice Number is Mandatory field.</v>
      </c>
      <c r="G6" s="41" t="str">
        <f t="shared" si="0"/>
        <v>Description of Goods / Services is Mandatory field.</v>
      </c>
      <c r="H6" s="41" t="str">
        <f t="shared" si="0"/>
        <v>Taxable Value is Mandatory field.</v>
      </c>
      <c r="I6" s="41" t="str">
        <f t="shared" si="0"/>
        <v>Amount of VAT  is Mandatory field.</v>
      </c>
      <c r="J6" s="41" t="str">
        <f>CONCATENATE(J2," is Mandatory field.")</f>
        <v>Relevant Invoice Number is Mandatory field.</v>
      </c>
      <c r="K6" s="41" t="str">
        <f>CONCATENATE(K2," is Mandatory field.")</f>
        <v>Relevant Invoice Date is Mandatory field.</v>
      </c>
    </row>
    <row r="7" spans="1:14" ht="35.1" customHeight="1">
      <c r="A7" s="41" t="s">
        <v>475</v>
      </c>
      <c r="B7" s="41" t="s">
        <v>598</v>
      </c>
      <c r="C7" s="41" t="s">
        <v>599</v>
      </c>
      <c r="D7" s="41" t="s">
        <v>600</v>
      </c>
      <c r="E7" s="41" t="s">
        <v>601</v>
      </c>
      <c r="F7" s="41" t="s">
        <v>602</v>
      </c>
      <c r="G7" s="41" t="s">
        <v>603</v>
      </c>
      <c r="H7" s="41" t="s">
        <v>604</v>
      </c>
      <c r="I7" s="41" t="s">
        <v>605</v>
      </c>
      <c r="J7" s="41" t="s">
        <v>606</v>
      </c>
      <c r="K7" s="41" t="s">
        <v>607</v>
      </c>
    </row>
    <row r="8" spans="1:14" ht="35.1" customHeight="1">
      <c r="A8" s="41" t="s">
        <v>474</v>
      </c>
      <c r="B8" s="41" t="str">
        <f>CONCATENATE("Please Enter Data upto ",B4," Length only.")</f>
        <v>Please Enter Data upto 11 Length only.</v>
      </c>
      <c r="C8" s="41" t="str">
        <f>CONCATENATE("Please Enter AlphaNumeric Data.Special characters like Space , - . / : are allowed.")</f>
        <v>Please Enter AlphaNumeric Data.Special characters like Space , - . / : are allowed.</v>
      </c>
      <c r="D8" s="41" t="s">
        <v>608</v>
      </c>
      <c r="E8" s="41" t="str">
        <f>CONCATENATE("Please Enter Data upto ",E4," Length only.")</f>
        <v>Please Enter Data upto 10 Length only.</v>
      </c>
      <c r="F8" s="41" t="str">
        <f>CONCATENATE("Please Enter AlphaNumeric Data.Special characters like Space , - . /  : are allowed.")</f>
        <v>Please Enter AlphaNumeric Data.Special characters like Space , - . /  : are allowed.</v>
      </c>
      <c r="G8" s="41" t="str">
        <f>CONCATENATE("Please Enter AlphaNumeric Data.Special characters like Space , - . /  : are allowed.")</f>
        <v>Please Enter AlphaNumeric Data.Special characters like Space , - . /  : are allowed.</v>
      </c>
      <c r="H8" s="41" t="str">
        <f>CONCATENATE("Please Enter Numeric Data Only.")</f>
        <v>Please Enter Numeric Data Only.</v>
      </c>
      <c r="I8" s="41" t="str">
        <f>CONCATENATE("Please Enter Numeric Data Only.")</f>
        <v>Please Enter Numeric Data Only.</v>
      </c>
      <c r="J8" s="41" t="str">
        <f>CONCATENATE("Please Enter AlphaNumeric Data.Special characters like Space , - . /  : are allowed.")</f>
        <v>Please Enter AlphaNumeric Data.Special characters like Space , - . /  : are allowed.</v>
      </c>
      <c r="K8" s="41" t="str">
        <f>CONCATENATE("Please Enter Data upto ",K4," Length only.")</f>
        <v>Please Enter Data upto 10 Length only.</v>
      </c>
    </row>
    <row r="9" spans="1:14" ht="35.1" customHeight="1">
      <c r="A9" s="41" t="s">
        <v>476</v>
      </c>
      <c r="C9" s="41" t="s">
        <v>609</v>
      </c>
      <c r="D9" s="41" t="s">
        <v>610</v>
      </c>
      <c r="E9" s="41" t="s">
        <v>611</v>
      </c>
      <c r="F9" s="41" t="s">
        <v>1219</v>
      </c>
      <c r="G9" s="41" t="s">
        <v>612</v>
      </c>
      <c r="H9" s="41" t="s">
        <v>613</v>
      </c>
      <c r="I9" s="41" t="s">
        <v>614</v>
      </c>
      <c r="J9" s="41" t="s">
        <v>1232</v>
      </c>
      <c r="K9" s="41" t="s">
        <v>615</v>
      </c>
    </row>
    <row r="10" spans="1:14" ht="35.1" customHeight="1">
      <c r="A10" s="41" t="s">
        <v>474</v>
      </c>
      <c r="B10" s="41" t="s">
        <v>616</v>
      </c>
      <c r="C10" s="41" t="str">
        <f>CONCATENATE("Please Enter Data upto ",C4," Length only.")</f>
        <v>Please Enter Data upto 50 Length only.</v>
      </c>
      <c r="D10" s="41" t="str">
        <f>CONCATENATE("Please Enter Data upto ",D4," Length only.")</f>
        <v>Please Enter Data upto 20 Length only.</v>
      </c>
      <c r="E10" s="41" t="s">
        <v>617</v>
      </c>
      <c r="F10" s="41" t="str">
        <f>CONCATENATE("Please Enter Data upto ",F4," Length only.")</f>
        <v>Please Enter Data upto 40 Length only.</v>
      </c>
      <c r="G10" s="41" t="str">
        <f>CONCATENATE("Please Enter Data upto ",G4," Length only.")</f>
        <v>Please Enter Data upto 200 Length only.</v>
      </c>
      <c r="H10" s="41" t="str">
        <f>CONCATENATE("Please Enter Data upto ",H4," Length only.")</f>
        <v>Please Enter Data upto 15 Length only.</v>
      </c>
      <c r="I10" s="41" t="str">
        <f>CONCATENATE("Please Enter Data upto ",I4," Length only.")</f>
        <v>Please Enter Data upto 15 Length only.</v>
      </c>
      <c r="J10" s="41" t="str">
        <f>CONCATENATE("Please Enter Data upto ",J4," Length only.")</f>
        <v>Please Enter Data upto 40 Length only.</v>
      </c>
      <c r="K10" s="41" t="s">
        <v>618</v>
      </c>
    </row>
    <row r="11" spans="1:14" ht="35.1" customHeight="1">
      <c r="A11" s="41" t="s">
        <v>619</v>
      </c>
      <c r="F11" s="41" t="s">
        <v>1214</v>
      </c>
      <c r="K11" s="41" t="s">
        <v>1238</v>
      </c>
    </row>
    <row r="12" spans="1:14" ht="35.1" customHeight="1">
      <c r="A12" s="41" t="s">
        <v>474</v>
      </c>
      <c r="F12" s="41" t="s">
        <v>1215</v>
      </c>
      <c r="J12" s="41" t="s">
        <v>620</v>
      </c>
      <c r="K12" s="41" t="s">
        <v>1242</v>
      </c>
    </row>
    <row r="14" spans="1:14" ht="35.1" customHeight="1">
      <c r="A14" s="42" t="s">
        <v>621</v>
      </c>
      <c r="B14" s="43" t="s">
        <v>577</v>
      </c>
      <c r="C14" s="43" t="s">
        <v>578</v>
      </c>
      <c r="D14" s="43" t="s">
        <v>579</v>
      </c>
      <c r="E14" s="43" t="s">
        <v>580</v>
      </c>
      <c r="F14" s="43" t="s">
        <v>581</v>
      </c>
      <c r="G14" s="43" t="s">
        <v>582</v>
      </c>
      <c r="H14" s="43" t="s">
        <v>583</v>
      </c>
      <c r="I14" s="43" t="s">
        <v>584</v>
      </c>
      <c r="J14" s="42" t="s">
        <v>585</v>
      </c>
      <c r="K14" s="42" t="s">
        <v>586</v>
      </c>
      <c r="N14" s="41" t="s">
        <v>622</v>
      </c>
    </row>
    <row r="15" spans="1:14" ht="35.1" customHeight="1">
      <c r="A15" s="41" t="s">
        <v>472</v>
      </c>
      <c r="B15" s="41" t="s">
        <v>66</v>
      </c>
      <c r="C15" s="41" t="s">
        <v>66</v>
      </c>
      <c r="D15" s="41" t="s">
        <v>63</v>
      </c>
      <c r="E15" s="41" t="s">
        <v>66</v>
      </c>
      <c r="F15" s="41" t="s">
        <v>66</v>
      </c>
      <c r="G15" s="41" t="s">
        <v>66</v>
      </c>
      <c r="H15" s="41" t="s">
        <v>66</v>
      </c>
      <c r="I15" s="41" t="s">
        <v>66</v>
      </c>
      <c r="J15" s="41" t="s">
        <v>66</v>
      </c>
      <c r="K15" s="41" t="s">
        <v>66</v>
      </c>
    </row>
    <row r="16" spans="1:14" ht="35.1" customHeight="1">
      <c r="A16" s="41" t="s">
        <v>471</v>
      </c>
      <c r="B16" s="41">
        <v>11</v>
      </c>
      <c r="C16" s="41">
        <v>50</v>
      </c>
      <c r="D16" s="41">
        <v>20</v>
      </c>
      <c r="E16" s="41">
        <v>10</v>
      </c>
      <c r="F16" s="41">
        <v>40</v>
      </c>
      <c r="G16" s="41">
        <v>200</v>
      </c>
      <c r="H16" s="41">
        <v>15</v>
      </c>
      <c r="I16" s="41">
        <v>15</v>
      </c>
      <c r="J16" s="41">
        <v>40</v>
      </c>
      <c r="K16" s="41">
        <v>10</v>
      </c>
    </row>
    <row r="17" spans="1:14" ht="35.1" customHeight="1">
      <c r="A17" s="41" t="s">
        <v>473</v>
      </c>
      <c r="B17" s="41" t="s">
        <v>623</v>
      </c>
      <c r="C17" s="41" t="s">
        <v>624</v>
      </c>
      <c r="D17" s="41" t="s">
        <v>625</v>
      </c>
      <c r="E17" s="41" t="s">
        <v>626</v>
      </c>
      <c r="F17" s="41" t="s">
        <v>627</v>
      </c>
      <c r="G17" s="41" t="s">
        <v>628</v>
      </c>
      <c r="H17" s="41" t="s">
        <v>629</v>
      </c>
      <c r="I17" s="41" t="s">
        <v>630</v>
      </c>
      <c r="J17" s="41" t="s">
        <v>631</v>
      </c>
      <c r="K17" s="41" t="s">
        <v>632</v>
      </c>
    </row>
    <row r="18" spans="1:14" ht="35.1" customHeight="1">
      <c r="A18" s="41" t="s">
        <v>474</v>
      </c>
      <c r="B18" s="41" t="str">
        <f t="shared" ref="B18:I18" si="1">CONCATENATE(B14," is Mandatory field.")</f>
        <v>PIN of Purchaser is Mandatory field.</v>
      </c>
      <c r="C18" s="41" t="str">
        <f t="shared" si="1"/>
        <v>Name of Purchaser is Mandatory field.</v>
      </c>
      <c r="D18" s="41" t="str">
        <f t="shared" si="1"/>
        <v>ETR Serial Number is Mandatory field.</v>
      </c>
      <c r="E18" s="41" t="str">
        <f t="shared" si="1"/>
        <v>Invoice Date is Mandatory field.</v>
      </c>
      <c r="F18" s="41" t="str">
        <f t="shared" si="1"/>
        <v>Invoice Number is Mandatory field.</v>
      </c>
      <c r="G18" s="41" t="str">
        <f t="shared" si="1"/>
        <v>Description of Goods / Services is Mandatory field.</v>
      </c>
      <c r="H18" s="41" t="str">
        <f t="shared" si="1"/>
        <v>Taxable Value is Mandatory field.</v>
      </c>
      <c r="I18" s="41" t="str">
        <f t="shared" si="1"/>
        <v>Amount of VAT  is Mandatory field.</v>
      </c>
      <c r="J18" s="41" t="str">
        <f>CONCATENATE(J14," is Mandatory field.")</f>
        <v>Relevant Invoice Number is Mandatory field.</v>
      </c>
      <c r="K18" s="41" t="str">
        <f>CONCATENATE(K14," is Mandatory field.")</f>
        <v>Relevant Invoice Date is Mandatory field.</v>
      </c>
    </row>
    <row r="19" spans="1:14" ht="35.1" customHeight="1">
      <c r="A19" s="41" t="s">
        <v>475</v>
      </c>
      <c r="B19" s="41" t="s">
        <v>633</v>
      </c>
      <c r="C19" s="41" t="s">
        <v>634</v>
      </c>
      <c r="D19" s="41" t="s">
        <v>635</v>
      </c>
      <c r="E19" s="41" t="s">
        <v>636</v>
      </c>
      <c r="F19" s="41" t="s">
        <v>637</v>
      </c>
      <c r="G19" s="41" t="s">
        <v>638</v>
      </c>
      <c r="H19" s="41" t="s">
        <v>639</v>
      </c>
      <c r="I19" s="41" t="s">
        <v>640</v>
      </c>
      <c r="J19" s="41" t="s">
        <v>641</v>
      </c>
      <c r="K19" s="41" t="s">
        <v>642</v>
      </c>
    </row>
    <row r="20" spans="1:14" ht="35.1" customHeight="1">
      <c r="A20" s="41" t="s">
        <v>474</v>
      </c>
      <c r="B20" s="41" t="str">
        <f>CONCATENATE("Please Enter Data upto ",B16," Length only.")</f>
        <v>Please Enter Data upto 11 Length only.</v>
      </c>
      <c r="C20" s="41" t="str">
        <f>CONCATENATE("Please Enter AlphaNumeric Data.Special characters like Space , - . /  : are allowed.")</f>
        <v>Please Enter AlphaNumeric Data.Special characters like Space , - . /  : are allowed.</v>
      </c>
      <c r="D20" s="41" t="s">
        <v>608</v>
      </c>
      <c r="E20" s="41" t="str">
        <f>CONCATENATE("Please Enter Data upto ",E16," Length only.")</f>
        <v>Please Enter Data upto 10 Length only.</v>
      </c>
      <c r="F20" s="41" t="str">
        <f>CONCATENATE("Please Enter AlphaNumeric Data.Special characters like Space , - . / : are allowed.")</f>
        <v>Please Enter AlphaNumeric Data.Special characters like Space , - . / : are allowed.</v>
      </c>
      <c r="G20" s="41" t="str">
        <f>CONCATENATE("Please Enter AlphaNumeric Data.Special characters like Space , - . / : are allowed.")</f>
        <v>Please Enter AlphaNumeric Data.Special characters like Space , - . / : are allowed.</v>
      </c>
      <c r="H20" s="41" t="str">
        <f>CONCATENATE("Please Enter Numeric Data Only.")</f>
        <v>Please Enter Numeric Data Only.</v>
      </c>
      <c r="I20" s="41" t="str">
        <f>CONCATENATE("Please Enter Numeric Data Only.")</f>
        <v>Please Enter Numeric Data Only.</v>
      </c>
      <c r="J20" s="41" t="str">
        <f>CONCATENATE("Please Enter AlphaNumeric Data.Special characters like Space , - . /  : are allowed.")</f>
        <v>Please Enter AlphaNumeric Data.Special characters like Space , - . /  : are allowed.</v>
      </c>
      <c r="K20" s="41" t="str">
        <f>CONCATENATE("Please Enter Data upto ",K16," Length only.")</f>
        <v>Please Enter Data upto 10 Length only.</v>
      </c>
    </row>
    <row r="21" spans="1:14" ht="35.1" customHeight="1">
      <c r="A21" s="41" t="s">
        <v>476</v>
      </c>
      <c r="C21" s="41" t="s">
        <v>643</v>
      </c>
      <c r="D21" s="41" t="s">
        <v>644</v>
      </c>
      <c r="E21" s="41" t="s">
        <v>645</v>
      </c>
      <c r="F21" s="41" t="s">
        <v>1220</v>
      </c>
      <c r="G21" s="41" t="s">
        <v>646</v>
      </c>
      <c r="H21" s="41" t="s">
        <v>647</v>
      </c>
      <c r="I21" s="41" t="s">
        <v>648</v>
      </c>
      <c r="J21" s="41" t="s">
        <v>1231</v>
      </c>
      <c r="K21" s="41" t="s">
        <v>649</v>
      </c>
    </row>
    <row r="22" spans="1:14" ht="35.1" customHeight="1">
      <c r="A22" s="41" t="s">
        <v>474</v>
      </c>
      <c r="B22" s="41" t="s">
        <v>616</v>
      </c>
      <c r="C22" s="41" t="str">
        <f t="shared" ref="C22:H22" si="2">CONCATENATE("Please Enter Data upto ",C16," Length only.")</f>
        <v>Please Enter Data upto 50 Length only.</v>
      </c>
      <c r="D22" s="41" t="str">
        <f t="shared" si="2"/>
        <v>Please Enter Data upto 20 Length only.</v>
      </c>
      <c r="E22" s="41" t="s">
        <v>617</v>
      </c>
      <c r="F22" s="41" t="str">
        <f t="shared" si="2"/>
        <v>Please Enter Data upto 40 Length only.</v>
      </c>
      <c r="G22" s="41" t="str">
        <f t="shared" si="2"/>
        <v>Please Enter Data upto 200 Length only.</v>
      </c>
      <c r="H22" s="41" t="str">
        <f t="shared" si="2"/>
        <v>Please Enter Data upto 15 Length only.</v>
      </c>
      <c r="I22" s="41" t="str">
        <f>CONCATENATE("Please Enter Data upto ",I16," Length only.")</f>
        <v>Please Enter Data upto 15 Length only.</v>
      </c>
      <c r="J22" s="41" t="str">
        <f>CONCATENATE("Please Enter Data upto ",J16," Length only.")</f>
        <v>Please Enter Data upto 40 Length only.</v>
      </c>
      <c r="K22" s="41" t="s">
        <v>617</v>
      </c>
    </row>
    <row r="23" spans="1:14" ht="35.1" customHeight="1">
      <c r="A23" s="41" t="s">
        <v>619</v>
      </c>
      <c r="K23" s="41" t="s">
        <v>1239</v>
      </c>
    </row>
    <row r="24" spans="1:14" ht="35.1" customHeight="1">
      <c r="A24" s="41" t="s">
        <v>474</v>
      </c>
      <c r="J24" s="41" t="s">
        <v>620</v>
      </c>
      <c r="K24" s="41" t="s">
        <v>1242</v>
      </c>
    </row>
    <row r="26" spans="1:14" s="42" customFormat="1" ht="35.1" customHeight="1">
      <c r="A26" s="42" t="s">
        <v>650</v>
      </c>
      <c r="B26" s="260" t="s">
        <v>651</v>
      </c>
      <c r="C26" s="260" t="s">
        <v>577</v>
      </c>
      <c r="D26" s="260" t="s">
        <v>578</v>
      </c>
      <c r="E26" s="43" t="s">
        <v>579</v>
      </c>
      <c r="F26" s="260" t="s">
        <v>580</v>
      </c>
      <c r="G26" s="260" t="s">
        <v>581</v>
      </c>
      <c r="H26" s="260" t="s">
        <v>582</v>
      </c>
      <c r="I26" s="260" t="s">
        <v>197</v>
      </c>
      <c r="J26" s="260" t="s">
        <v>652</v>
      </c>
      <c r="K26" s="260" t="s">
        <v>583</v>
      </c>
      <c r="L26" s="260"/>
      <c r="N26" s="260" t="s">
        <v>653</v>
      </c>
    </row>
    <row r="27" spans="1:14" ht="35.1" customHeight="1">
      <c r="A27" s="41" t="s">
        <v>472</v>
      </c>
      <c r="B27" s="41" t="s">
        <v>66</v>
      </c>
      <c r="C27" s="41" t="s">
        <v>66</v>
      </c>
      <c r="D27" s="41" t="s">
        <v>66</v>
      </c>
      <c r="E27" s="41" t="s">
        <v>63</v>
      </c>
      <c r="F27" s="41" t="s">
        <v>66</v>
      </c>
      <c r="G27" s="41" t="s">
        <v>66</v>
      </c>
      <c r="H27" s="41" t="s">
        <v>66</v>
      </c>
      <c r="I27" s="41" t="s">
        <v>66</v>
      </c>
      <c r="J27" s="41" t="s">
        <v>66</v>
      </c>
      <c r="K27" s="41" t="s">
        <v>66</v>
      </c>
    </row>
    <row r="28" spans="1:14" ht="35.1" customHeight="1">
      <c r="A28" s="41" t="s">
        <v>471</v>
      </c>
      <c r="C28" s="41">
        <v>11</v>
      </c>
      <c r="D28" s="41">
        <v>50</v>
      </c>
      <c r="E28" s="41">
        <v>20</v>
      </c>
      <c r="F28" s="41">
        <v>10</v>
      </c>
      <c r="G28" s="41">
        <v>40</v>
      </c>
      <c r="H28" s="41">
        <v>200</v>
      </c>
      <c r="J28" s="41">
        <v>20</v>
      </c>
      <c r="K28" s="41">
        <v>15</v>
      </c>
    </row>
    <row r="29" spans="1:14" ht="35.1" customHeight="1">
      <c r="A29" s="41" t="s">
        <v>473</v>
      </c>
      <c r="B29" s="41" t="s">
        <v>654</v>
      </c>
      <c r="C29" s="41" t="s">
        <v>655</v>
      </c>
      <c r="D29" s="41" t="s">
        <v>656</v>
      </c>
      <c r="E29" s="41" t="s">
        <v>657</v>
      </c>
      <c r="F29" s="41" t="s">
        <v>658</v>
      </c>
      <c r="G29" s="41" t="s">
        <v>659</v>
      </c>
      <c r="H29" s="41" t="s">
        <v>660</v>
      </c>
      <c r="I29" s="41" t="s">
        <v>661</v>
      </c>
      <c r="J29" s="41" t="s">
        <v>662</v>
      </c>
      <c r="K29" s="41" t="s">
        <v>663</v>
      </c>
    </row>
    <row r="30" spans="1:14" ht="35.1" customHeight="1">
      <c r="A30" s="41" t="s">
        <v>474</v>
      </c>
      <c r="B30" s="41" t="str">
        <f>CONCATENATE(B26," is Mandatory field.")</f>
        <v>Type of Sales is Mandatory field.</v>
      </c>
      <c r="C30" s="41" t="str">
        <f>CONCATENATE(C26," is Mandatory field.")</f>
        <v>PIN of Purchaser is Mandatory field.</v>
      </c>
      <c r="D30" s="41" t="str">
        <f>CONCATENATE(D26," is Mandatory field.")</f>
        <v>Name of Purchaser is Mandatory field.</v>
      </c>
      <c r="E30" s="41" t="str">
        <f>CONCATENATE(E26," is Mandatory field.")</f>
        <v>ETR Serial Number is Mandatory field.</v>
      </c>
      <c r="F30" s="41" t="str">
        <f t="shared" ref="F30:K30" si="3">CONCATENATE(F26," is Mandatory field.")</f>
        <v>Invoice Date is Mandatory field.</v>
      </c>
      <c r="G30" s="41" t="str">
        <f t="shared" si="3"/>
        <v>Invoice Number is Mandatory field.</v>
      </c>
      <c r="H30" s="41" t="str">
        <f t="shared" si="3"/>
        <v>Description of Goods / Services is Mandatory field.</v>
      </c>
      <c r="I30" s="41" t="str">
        <f t="shared" si="3"/>
        <v>Relevant Paragraph is Mandatory field.</v>
      </c>
      <c r="J30" s="41" t="str">
        <f t="shared" si="3"/>
        <v>Exemption Certificate Number is Mandatory field.</v>
      </c>
      <c r="K30" s="41" t="str">
        <f t="shared" si="3"/>
        <v>Taxable Value is Mandatory field.</v>
      </c>
    </row>
    <row r="31" spans="1:14" ht="35.1" customHeight="1">
      <c r="A31" s="41" t="s">
        <v>475</v>
      </c>
      <c r="C31" s="41" t="s">
        <v>664</v>
      </c>
      <c r="D31" s="41" t="s">
        <v>665</v>
      </c>
      <c r="E31" s="41" t="s">
        <v>666</v>
      </c>
      <c r="F31" s="41" t="s">
        <v>667</v>
      </c>
      <c r="G31" s="41" t="s">
        <v>668</v>
      </c>
      <c r="H31" s="41" t="s">
        <v>669</v>
      </c>
      <c r="J31" s="41" t="s">
        <v>670</v>
      </c>
      <c r="K31" s="41" t="s">
        <v>671</v>
      </c>
    </row>
    <row r="32" spans="1:14" ht="35.1" customHeight="1">
      <c r="A32" s="41" t="s">
        <v>474</v>
      </c>
      <c r="C32" s="41" t="str">
        <f>CONCATENATE("Please Enter Data upto ",C28," Length only.")</f>
        <v>Please Enter Data upto 11 Length only.</v>
      </c>
      <c r="D32" s="41" t="str">
        <f>CONCATENATE("Please Enter AlphaNumeric Data.Special characters like Space , - . / : are allowed.")</f>
        <v>Please Enter AlphaNumeric Data.Special characters like Space , - . / : are allowed.</v>
      </c>
      <c r="E32" s="41" t="s">
        <v>608</v>
      </c>
      <c r="F32" s="41" t="str">
        <f>CONCATENATE("Please Enter Data upto ",F28," Length only.")</f>
        <v>Please Enter Data upto 10 Length only.</v>
      </c>
      <c r="G32" s="41" t="str">
        <f>CONCATENATE("Please Enter AlphaNumeric Data.Special characters like Space , - . / : are allowed.")</f>
        <v>Please Enter AlphaNumeric Data.Special characters like Space , - . / : are allowed.</v>
      </c>
      <c r="H32" s="41" t="str">
        <f>CONCATENATE("Please Enter AlphaNumeric Data.Special characters like Space , - . / : are allowed.")</f>
        <v>Please Enter AlphaNumeric Data.Special characters like Space , - . / : are allowed.</v>
      </c>
      <c r="J32" s="41" t="s">
        <v>608</v>
      </c>
      <c r="K32" s="41" t="str">
        <f>CONCATENATE("Please Enter Numeric Data Only.")</f>
        <v>Please Enter Numeric Data Only.</v>
      </c>
    </row>
    <row r="33" spans="1:14" ht="35.1" customHeight="1">
      <c r="A33" s="41" t="s">
        <v>476</v>
      </c>
      <c r="D33" s="41" t="s">
        <v>672</v>
      </c>
      <c r="E33" s="41" t="s">
        <v>673</v>
      </c>
      <c r="F33" s="41" t="s">
        <v>674</v>
      </c>
      <c r="G33" s="41" t="s">
        <v>1221</v>
      </c>
      <c r="H33" s="41" t="s">
        <v>675</v>
      </c>
      <c r="J33" s="41" t="s">
        <v>676</v>
      </c>
      <c r="K33" s="41" t="s">
        <v>677</v>
      </c>
    </row>
    <row r="34" spans="1:14" ht="35.1" customHeight="1">
      <c r="A34" s="41" t="s">
        <v>474</v>
      </c>
      <c r="C34" s="41" t="s">
        <v>616</v>
      </c>
      <c r="D34" s="41" t="str">
        <f t="shared" ref="D34:K34" si="4">CONCATENATE("Please Enter Data upto ",D28," Length only.")</f>
        <v>Please Enter Data upto 50 Length only.</v>
      </c>
      <c r="E34" s="41" t="str">
        <f t="shared" si="4"/>
        <v>Please Enter Data upto 20 Length only.</v>
      </c>
      <c r="F34" s="41" t="s">
        <v>617</v>
      </c>
      <c r="G34" s="41" t="str">
        <f t="shared" si="4"/>
        <v>Please Enter Data upto 40 Length only.</v>
      </c>
      <c r="H34" s="41" t="str">
        <f t="shared" si="4"/>
        <v>Please Enter Data upto 200 Length only.</v>
      </c>
      <c r="J34" s="41" t="str">
        <f t="shared" si="4"/>
        <v>Please Enter Data upto 20 Length only.</v>
      </c>
      <c r="K34" s="41" t="str">
        <f t="shared" si="4"/>
        <v>Please Enter Data upto 15 Length only.</v>
      </c>
    </row>
    <row r="36" spans="1:14" s="42" customFormat="1" ht="35.1" customHeight="1">
      <c r="A36" s="42" t="s">
        <v>650</v>
      </c>
      <c r="B36" s="260" t="s">
        <v>577</v>
      </c>
      <c r="C36" s="260" t="s">
        <v>578</v>
      </c>
      <c r="D36" s="43" t="s">
        <v>579</v>
      </c>
      <c r="E36" s="260" t="s">
        <v>580</v>
      </c>
      <c r="F36" s="260" t="s">
        <v>581</v>
      </c>
      <c r="G36" s="260" t="s">
        <v>1161</v>
      </c>
      <c r="H36" s="260" t="s">
        <v>582</v>
      </c>
      <c r="I36" s="260" t="s">
        <v>678</v>
      </c>
      <c r="J36" s="260" t="s">
        <v>679</v>
      </c>
      <c r="K36" s="260" t="s">
        <v>680</v>
      </c>
      <c r="L36" s="260" t="s">
        <v>197</v>
      </c>
      <c r="M36" s="260" t="s">
        <v>583</v>
      </c>
      <c r="N36" s="42" t="s">
        <v>681</v>
      </c>
    </row>
    <row r="37" spans="1:14" ht="35.1" customHeight="1">
      <c r="A37" s="41" t="s">
        <v>472</v>
      </c>
      <c r="B37" s="41" t="s">
        <v>63</v>
      </c>
      <c r="C37" s="41" t="s">
        <v>66</v>
      </c>
      <c r="D37" s="41" t="s">
        <v>63</v>
      </c>
      <c r="E37" s="41" t="s">
        <v>66</v>
      </c>
      <c r="F37" s="41" t="s">
        <v>66</v>
      </c>
      <c r="G37" s="41" t="s">
        <v>66</v>
      </c>
      <c r="H37" s="41" t="s">
        <v>66</v>
      </c>
      <c r="I37" s="41" t="s">
        <v>66</v>
      </c>
      <c r="J37" s="41" t="s">
        <v>66</v>
      </c>
      <c r="K37" s="41" t="s">
        <v>66</v>
      </c>
      <c r="L37" s="41" t="s">
        <v>66</v>
      </c>
      <c r="M37" s="41" t="s">
        <v>66</v>
      </c>
    </row>
    <row r="38" spans="1:14" ht="35.1" customHeight="1">
      <c r="A38" s="41" t="s">
        <v>471</v>
      </c>
      <c r="B38" s="41">
        <v>11</v>
      </c>
      <c r="C38" s="41">
        <v>50</v>
      </c>
      <c r="D38" s="41">
        <v>20</v>
      </c>
      <c r="E38" s="41">
        <v>10</v>
      </c>
      <c r="F38" s="41">
        <v>40</v>
      </c>
      <c r="H38" s="41">
        <v>200</v>
      </c>
      <c r="I38" s="41">
        <v>20</v>
      </c>
      <c r="J38" s="41">
        <v>20</v>
      </c>
      <c r="K38" s="41">
        <v>20</v>
      </c>
      <c r="M38" s="41">
        <v>15</v>
      </c>
    </row>
    <row r="39" spans="1:14" ht="35.1" customHeight="1">
      <c r="A39" s="41" t="s">
        <v>473</v>
      </c>
      <c r="B39" s="41" t="s">
        <v>682</v>
      </c>
      <c r="C39" s="41" t="s">
        <v>683</v>
      </c>
      <c r="D39" s="41" t="s">
        <v>684</v>
      </c>
      <c r="E39" s="41" t="s">
        <v>685</v>
      </c>
      <c r="F39" s="41" t="s">
        <v>686</v>
      </c>
      <c r="G39" s="41" t="s">
        <v>687</v>
      </c>
      <c r="H39" s="41" t="s">
        <v>688</v>
      </c>
      <c r="I39" s="41" t="s">
        <v>689</v>
      </c>
      <c r="J39" s="41" t="s">
        <v>690</v>
      </c>
      <c r="K39" s="41" t="s">
        <v>691</v>
      </c>
      <c r="L39" s="41" t="s">
        <v>692</v>
      </c>
      <c r="M39" s="41" t="s">
        <v>1162</v>
      </c>
    </row>
    <row r="40" spans="1:14" ht="35.1" customHeight="1">
      <c r="A40" s="41" t="s">
        <v>474</v>
      </c>
      <c r="B40" s="41" t="str">
        <f t="shared" ref="B40:L40" si="5">CONCATENATE(B36," is Mandatory field.")</f>
        <v>PIN of Purchaser is Mandatory field.</v>
      </c>
      <c r="C40" s="41" t="str">
        <f t="shared" si="5"/>
        <v>Name of Purchaser is Mandatory field.</v>
      </c>
      <c r="D40" s="41" t="str">
        <f t="shared" si="5"/>
        <v>ETR Serial Number is Mandatory field.</v>
      </c>
      <c r="E40" s="41" t="str">
        <f t="shared" si="5"/>
        <v>Invoice Date is Mandatory field.</v>
      </c>
      <c r="F40" s="41" t="str">
        <f t="shared" si="5"/>
        <v>Invoice Number is Mandatory field.</v>
      </c>
      <c r="G40" s="41" t="str">
        <f t="shared" si="5"/>
        <v>Type of Exports is Mandatory field.</v>
      </c>
      <c r="H40" s="41" t="str">
        <f t="shared" si="5"/>
        <v>Description of Goods / Services is Mandatory field.</v>
      </c>
      <c r="I40" s="41" t="str">
        <f t="shared" si="5"/>
        <v>Custom Entry Number is Mandatory field.</v>
      </c>
      <c r="J40" s="41" t="str">
        <f t="shared" si="5"/>
        <v>Port of Exit is Mandatory field.</v>
      </c>
      <c r="K40" s="41" t="str">
        <f t="shared" si="5"/>
        <v>Destination Country is Mandatory field.</v>
      </c>
      <c r="L40" s="41" t="str">
        <f t="shared" si="5"/>
        <v>Relevant Paragraph is Mandatory field.</v>
      </c>
      <c r="M40" s="41" t="str">
        <f>CONCATENATE(M36," is Mandatory field.")</f>
        <v>Taxable Value is Mandatory field.</v>
      </c>
    </row>
    <row r="41" spans="1:14" ht="35.1" customHeight="1">
      <c r="A41" s="41" t="s">
        <v>475</v>
      </c>
      <c r="B41" s="41" t="s">
        <v>693</v>
      </c>
      <c r="C41" s="41" t="s">
        <v>694</v>
      </c>
      <c r="D41" s="41" t="s">
        <v>695</v>
      </c>
      <c r="E41" s="41" t="s">
        <v>696</v>
      </c>
      <c r="F41" s="41" t="s">
        <v>697</v>
      </c>
      <c r="H41" s="41" t="s">
        <v>1163</v>
      </c>
      <c r="I41" s="41" t="s">
        <v>1164</v>
      </c>
      <c r="J41" s="41" t="s">
        <v>698</v>
      </c>
      <c r="K41" s="41" t="s">
        <v>1165</v>
      </c>
      <c r="M41" s="41" t="s">
        <v>1166</v>
      </c>
    </row>
    <row r="42" spans="1:14" ht="35.1" customHeight="1">
      <c r="A42" s="41" t="s">
        <v>474</v>
      </c>
      <c r="B42" s="41" t="str">
        <f>CONCATENATE("Please Enter Data upto ",B38," Length only.")</f>
        <v>Please Enter Data upto 11 Length only.</v>
      </c>
      <c r="C42" s="41" t="str">
        <f>CONCATENATE("Please Enter AlphaNumeric Data.Special characters like Space , - . / : are allowed.")</f>
        <v>Please Enter AlphaNumeric Data.Special characters like Space , - . / : are allowed.</v>
      </c>
      <c r="D42" s="41" t="s">
        <v>608</v>
      </c>
      <c r="E42" s="41" t="str">
        <f>CONCATENATE("Please Enter Data upto ",E38," Length only.")</f>
        <v>Please Enter Data upto 10 Length only.</v>
      </c>
      <c r="F42" s="41" t="str">
        <f>CONCATENATE("Please Enter AlphaNumeric Data.Special characters like Space , - . / : are allowed.")</f>
        <v>Please Enter AlphaNumeric Data.Special characters like Space , - . / : are allowed.</v>
      </c>
      <c r="H42" s="41" t="str">
        <f>CONCATENATE("Please Enter AlphaNumeric Data.Special characters like Space , - . / : are allowed.")</f>
        <v>Please Enter AlphaNumeric Data.Special characters like Space , - . / : are allowed.</v>
      </c>
      <c r="I42" s="41" t="s">
        <v>608</v>
      </c>
      <c r="J42" s="41" t="s">
        <v>699</v>
      </c>
      <c r="K42" s="41" t="s">
        <v>699</v>
      </c>
      <c r="M42" s="41" t="str">
        <f>CONCATENATE("Please Enter Numeric Data Only.")</f>
        <v>Please Enter Numeric Data Only.</v>
      </c>
    </row>
    <row r="43" spans="1:14" ht="35.1" customHeight="1">
      <c r="A43" s="41" t="s">
        <v>476</v>
      </c>
      <c r="C43" s="41" t="s">
        <v>700</v>
      </c>
      <c r="D43" s="41" t="s">
        <v>701</v>
      </c>
      <c r="E43" s="41" t="s">
        <v>702</v>
      </c>
      <c r="F43" s="41" t="s">
        <v>1222</v>
      </c>
      <c r="H43" s="41" t="s">
        <v>1167</v>
      </c>
      <c r="I43" s="41" t="s">
        <v>703</v>
      </c>
      <c r="J43" s="41" t="s">
        <v>704</v>
      </c>
      <c r="K43" s="41" t="s">
        <v>1168</v>
      </c>
      <c r="M43" s="41" t="s">
        <v>1169</v>
      </c>
    </row>
    <row r="44" spans="1:14" ht="35.1" customHeight="1">
      <c r="A44" s="41" t="s">
        <v>474</v>
      </c>
      <c r="B44" s="41" t="s">
        <v>616</v>
      </c>
      <c r="C44" s="41" t="str">
        <f>CONCATENATE("Please Enter Data upto ",C38," Length only.")</f>
        <v>Please Enter Data upto 50 Length only.</v>
      </c>
      <c r="D44" s="41" t="str">
        <f>CONCATENATE("Please Enter Data upto ",D38," Length only.")</f>
        <v>Please Enter Data upto 20 Length only.</v>
      </c>
      <c r="E44" s="41" t="s">
        <v>617</v>
      </c>
      <c r="F44" s="41" t="str">
        <f>CONCATENATE("Please Enter Data upto ",F38," Length only.")</f>
        <v>Please Enter Data upto 40 Length only.</v>
      </c>
      <c r="H44" s="41" t="str">
        <f>CONCATENATE("Please Enter Data upto ",H38," Length only.")</f>
        <v>Please Enter Data upto 200 Length only.</v>
      </c>
      <c r="I44" s="41" t="str">
        <f>CONCATENATE("Please Enter Data upto ",I38," Length only.")</f>
        <v>Please Enter Data upto 20 Length only.</v>
      </c>
      <c r="J44" s="41" t="str">
        <f>CONCATENATE("Please Enter Data upto ",J38," Length only.")</f>
        <v>Please Enter Data upto 20 Length only.</v>
      </c>
      <c r="K44" s="41" t="str">
        <f>CONCATENATE("Please Enter Data upto ",K38," Length only.")</f>
        <v>Please Enter Data upto 20 Length only.</v>
      </c>
      <c r="M44" s="41" t="str">
        <f>CONCATENATE("Please Enter Data upto ",M38," Length only.")</f>
        <v>Please Enter Data upto 15 Length only.</v>
      </c>
    </row>
    <row r="45" spans="1:14" ht="35.1" customHeight="1">
      <c r="M45" s="41"/>
    </row>
    <row r="46" spans="1:14" ht="35.1" customHeight="1">
      <c r="A46" s="42" t="s">
        <v>705</v>
      </c>
      <c r="B46" s="43" t="s">
        <v>577</v>
      </c>
      <c r="C46" s="43" t="s">
        <v>578</v>
      </c>
      <c r="D46" s="43" t="s">
        <v>579</v>
      </c>
      <c r="E46" s="43" t="s">
        <v>580</v>
      </c>
      <c r="F46" s="43" t="s">
        <v>581</v>
      </c>
      <c r="G46" s="43" t="s">
        <v>582</v>
      </c>
      <c r="H46" s="43" t="s">
        <v>706</v>
      </c>
      <c r="M46" s="41"/>
      <c r="N46" s="41" t="s">
        <v>707</v>
      </c>
    </row>
    <row r="47" spans="1:14" ht="35.1" customHeight="1">
      <c r="A47" s="41" t="s">
        <v>472</v>
      </c>
      <c r="B47" s="41" t="s">
        <v>66</v>
      </c>
      <c r="C47" s="41" t="s">
        <v>66</v>
      </c>
      <c r="D47" s="41" t="s">
        <v>63</v>
      </c>
      <c r="E47" s="41" t="s">
        <v>66</v>
      </c>
      <c r="F47" s="41" t="s">
        <v>66</v>
      </c>
      <c r="G47" s="41" t="s">
        <v>66</v>
      </c>
      <c r="H47" s="41" t="s">
        <v>66</v>
      </c>
    </row>
    <row r="48" spans="1:14" ht="35.1" customHeight="1">
      <c r="A48" s="41" t="s">
        <v>471</v>
      </c>
      <c r="B48" s="41">
        <v>11</v>
      </c>
      <c r="C48" s="41">
        <v>50</v>
      </c>
      <c r="D48" s="41">
        <v>20</v>
      </c>
      <c r="E48" s="41">
        <v>10</v>
      </c>
      <c r="F48" s="41">
        <v>40</v>
      </c>
      <c r="G48" s="41">
        <v>200</v>
      </c>
      <c r="H48" s="41">
        <v>15</v>
      </c>
    </row>
    <row r="49" spans="1:14" ht="35.1" customHeight="1">
      <c r="A49" s="41" t="s">
        <v>473</v>
      </c>
      <c r="B49" s="41" t="s">
        <v>708</v>
      </c>
      <c r="C49" s="41" t="s">
        <v>709</v>
      </c>
      <c r="D49" s="41" t="s">
        <v>710</v>
      </c>
      <c r="E49" s="41" t="s">
        <v>711</v>
      </c>
      <c r="F49" s="41" t="s">
        <v>712</v>
      </c>
      <c r="G49" s="41" t="s">
        <v>713</v>
      </c>
      <c r="H49" s="41" t="s">
        <v>714</v>
      </c>
    </row>
    <row r="50" spans="1:14" ht="35.1" customHeight="1">
      <c r="A50" s="41" t="s">
        <v>474</v>
      </c>
      <c r="B50" s="41" t="str">
        <f t="shared" ref="B50:H50" si="6">CONCATENATE(B46," is Mandatory field.")</f>
        <v>PIN of Purchaser is Mandatory field.</v>
      </c>
      <c r="C50" s="41" t="str">
        <f t="shared" si="6"/>
        <v>Name of Purchaser is Mandatory field.</v>
      </c>
      <c r="D50" s="41" t="str">
        <f t="shared" si="6"/>
        <v>ETR Serial Number is Mandatory field.</v>
      </c>
      <c r="E50" s="41" t="str">
        <f t="shared" si="6"/>
        <v>Invoice Date is Mandatory field.</v>
      </c>
      <c r="F50" s="41" t="str">
        <f t="shared" si="6"/>
        <v>Invoice Number is Mandatory field.</v>
      </c>
      <c r="G50" s="41" t="str">
        <f t="shared" si="6"/>
        <v>Description of Goods / Services is Mandatory field.</v>
      </c>
      <c r="H50" s="41" t="str">
        <f t="shared" si="6"/>
        <v>Sales Value is Mandatory field.</v>
      </c>
    </row>
    <row r="51" spans="1:14" ht="35.1" customHeight="1">
      <c r="A51" s="41" t="s">
        <v>475</v>
      </c>
      <c r="B51" s="41" t="s">
        <v>715</v>
      </c>
      <c r="C51" s="41" t="s">
        <v>716</v>
      </c>
      <c r="D51" s="41" t="s">
        <v>717</v>
      </c>
      <c r="E51" s="41" t="s">
        <v>718</v>
      </c>
      <c r="F51" s="41" t="s">
        <v>719</v>
      </c>
      <c r="G51" s="41" t="s">
        <v>720</v>
      </c>
      <c r="H51" s="41" t="s">
        <v>721</v>
      </c>
    </row>
    <row r="52" spans="1:14" ht="35.1" customHeight="1">
      <c r="A52" s="41" t="s">
        <v>474</v>
      </c>
      <c r="B52" s="41" t="str">
        <f>CONCATENATE("Please Enter Data upto ",B48," Length only.")</f>
        <v>Please Enter Data upto 11 Length only.</v>
      </c>
      <c r="C52" s="41" t="str">
        <f>CONCATENATE("Please Enter AlphaNumeric Data.Special characters like Space , - . / : are allowed.")</f>
        <v>Please Enter AlphaNumeric Data.Special characters like Space , - . / : are allowed.</v>
      </c>
      <c r="D52" s="41" t="s">
        <v>608</v>
      </c>
      <c r="E52" s="41" t="str">
        <f>CONCATENATE("Please Enter Data upto ",E48," Length only.")</f>
        <v>Please Enter Data upto 10 Length only.</v>
      </c>
      <c r="F52" s="41" t="str">
        <f>CONCATENATE("Please Enter AlphaNumeric Data.Special characters like Space , - . / : are allowed.")</f>
        <v>Please Enter AlphaNumeric Data.Special characters like Space , - . / : are allowed.</v>
      </c>
      <c r="G52" s="41" t="str">
        <f>CONCATENATE("Please Enter AlphaNumeric Data.Special characters like Space , - . / : are allowed.")</f>
        <v>Please Enter AlphaNumeric Data.Special characters like Space , - . / : are allowed.</v>
      </c>
      <c r="H52" s="41" t="str">
        <f>CONCATENATE("Please Enter Numeric Data Only.")</f>
        <v>Please Enter Numeric Data Only.</v>
      </c>
    </row>
    <row r="53" spans="1:14" ht="35.1" customHeight="1">
      <c r="A53" s="41" t="s">
        <v>476</v>
      </c>
      <c r="C53" s="41" t="s">
        <v>722</v>
      </c>
      <c r="D53" s="41" t="s">
        <v>723</v>
      </c>
      <c r="E53" s="41" t="s">
        <v>724</v>
      </c>
      <c r="F53" s="41" t="s">
        <v>1223</v>
      </c>
      <c r="G53" s="41" t="s">
        <v>725</v>
      </c>
      <c r="H53" s="41" t="s">
        <v>726</v>
      </c>
    </row>
    <row r="54" spans="1:14" ht="35.1" customHeight="1">
      <c r="A54" s="41" t="s">
        <v>474</v>
      </c>
      <c r="B54" s="41" t="s">
        <v>616</v>
      </c>
      <c r="C54" s="41" t="str">
        <f t="shared" ref="C54:H54" si="7">CONCATENATE("Please Enter Data upto ",C48," Length only.")</f>
        <v>Please Enter Data upto 50 Length only.</v>
      </c>
      <c r="D54" s="41" t="str">
        <f t="shared" si="7"/>
        <v>Please Enter Data upto 20 Length only.</v>
      </c>
      <c r="E54" s="41" t="s">
        <v>617</v>
      </c>
      <c r="F54" s="41" t="str">
        <f t="shared" si="7"/>
        <v>Please Enter Data upto 40 Length only.</v>
      </c>
      <c r="G54" s="41" t="str">
        <f t="shared" si="7"/>
        <v>Please Enter Data upto 200 Length only.</v>
      </c>
      <c r="H54" s="41" t="str">
        <f t="shared" si="7"/>
        <v>Please Enter Data upto 15 Length only.</v>
      </c>
    </row>
    <row r="56" spans="1:14" ht="35.1" customHeight="1">
      <c r="A56" s="42" t="s">
        <v>727</v>
      </c>
      <c r="B56" s="43" t="s">
        <v>728</v>
      </c>
      <c r="C56" s="43" t="s">
        <v>729</v>
      </c>
      <c r="D56" s="43" t="s">
        <v>730</v>
      </c>
      <c r="E56" s="43" t="s">
        <v>580</v>
      </c>
      <c r="F56" s="43" t="s">
        <v>581</v>
      </c>
      <c r="G56" s="43" t="s">
        <v>582</v>
      </c>
      <c r="H56" s="43" t="s">
        <v>678</v>
      </c>
      <c r="I56" s="43" t="s">
        <v>583</v>
      </c>
      <c r="J56" s="43" t="s">
        <v>584</v>
      </c>
      <c r="K56" s="42" t="s">
        <v>585</v>
      </c>
      <c r="L56" s="42" t="s">
        <v>586</v>
      </c>
      <c r="N56" s="41" t="s">
        <v>731</v>
      </c>
    </row>
    <row r="57" spans="1:14" ht="35.1" customHeight="1">
      <c r="A57" s="41" t="s">
        <v>472</v>
      </c>
      <c r="B57" s="41" t="s">
        <v>66</v>
      </c>
      <c r="C57" s="41" t="s">
        <v>66</v>
      </c>
      <c r="D57" s="41" t="s">
        <v>66</v>
      </c>
      <c r="E57" s="41" t="s">
        <v>66</v>
      </c>
      <c r="F57" s="41" t="s">
        <v>66</v>
      </c>
      <c r="G57" s="41" t="s">
        <v>66</v>
      </c>
      <c r="H57" s="41" t="s">
        <v>66</v>
      </c>
      <c r="I57" s="41" t="s">
        <v>66</v>
      </c>
      <c r="J57" s="41" t="s">
        <v>63</v>
      </c>
      <c r="K57" s="41" t="s">
        <v>66</v>
      </c>
      <c r="L57" s="41" t="s">
        <v>66</v>
      </c>
    </row>
    <row r="58" spans="1:14" ht="35.1" customHeight="1">
      <c r="A58" s="41" t="s">
        <v>471</v>
      </c>
      <c r="C58" s="41">
        <v>11</v>
      </c>
      <c r="D58" s="41">
        <v>50</v>
      </c>
      <c r="E58" s="41">
        <v>10</v>
      </c>
      <c r="F58" s="41">
        <v>40</v>
      </c>
      <c r="G58" s="41">
        <v>200</v>
      </c>
      <c r="H58" s="41">
        <v>20</v>
      </c>
      <c r="I58" s="41">
        <v>15</v>
      </c>
      <c r="J58" s="41">
        <v>15</v>
      </c>
      <c r="K58" s="41">
        <v>40</v>
      </c>
      <c r="L58" s="41">
        <v>10</v>
      </c>
    </row>
    <row r="59" spans="1:14" ht="35.1" customHeight="1">
      <c r="A59" s="41" t="s">
        <v>473</v>
      </c>
      <c r="B59" s="41" t="s">
        <v>732</v>
      </c>
      <c r="C59" s="41" t="s">
        <v>733</v>
      </c>
      <c r="D59" s="41" t="s">
        <v>734</v>
      </c>
      <c r="E59" s="41" t="s">
        <v>735</v>
      </c>
      <c r="F59" s="41" t="s">
        <v>736</v>
      </c>
      <c r="G59" s="41" t="s">
        <v>737</v>
      </c>
      <c r="H59" s="41" t="s">
        <v>738</v>
      </c>
      <c r="I59" s="41" t="s">
        <v>739</v>
      </c>
      <c r="J59" s="41" t="s">
        <v>740</v>
      </c>
      <c r="K59" s="41" t="s">
        <v>741</v>
      </c>
      <c r="L59" s="41" t="s">
        <v>742</v>
      </c>
    </row>
    <row r="60" spans="1:14" ht="35.1" customHeight="1">
      <c r="A60" s="41" t="s">
        <v>474</v>
      </c>
      <c r="B60" s="41" t="str">
        <f t="shared" ref="B60:J60" si="8">CONCATENATE(B56," is Mandatory field.")</f>
        <v>Type of Purchases is Mandatory field.</v>
      </c>
      <c r="C60" s="41" t="str">
        <f t="shared" si="8"/>
        <v>PIN of Supplier is Mandatory field.</v>
      </c>
      <c r="D60" s="41" t="str">
        <f t="shared" si="8"/>
        <v>Name of Supplier is Mandatory field.</v>
      </c>
      <c r="E60" s="41" t="str">
        <f t="shared" si="8"/>
        <v>Invoice Date is Mandatory field.</v>
      </c>
      <c r="F60" s="41" t="str">
        <f t="shared" si="8"/>
        <v>Invoice Number is Mandatory field.</v>
      </c>
      <c r="G60" s="41" t="str">
        <f t="shared" si="8"/>
        <v>Description of Goods / Services is Mandatory field.</v>
      </c>
      <c r="H60" s="41" t="str">
        <f t="shared" si="8"/>
        <v>Custom Entry Number is Mandatory field.</v>
      </c>
      <c r="I60" s="41" t="str">
        <f t="shared" si="8"/>
        <v>Taxable Value is Mandatory field.</v>
      </c>
      <c r="J60" s="41" t="str">
        <f t="shared" si="8"/>
        <v>Amount of VAT  is Mandatory field.</v>
      </c>
      <c r="K60" s="41" t="str">
        <f>CONCATENATE(K56," is Mandatory field.")</f>
        <v>Relevant Invoice Number is Mandatory field.</v>
      </c>
      <c r="L60" s="41" t="str">
        <f>CONCATENATE(L56," is Mandatory field.")</f>
        <v>Relevant Invoice Date is Mandatory field.</v>
      </c>
    </row>
    <row r="61" spans="1:14" ht="35.1" customHeight="1">
      <c r="A61" s="41" t="s">
        <v>475</v>
      </c>
      <c r="C61" s="41" t="s">
        <v>743</v>
      </c>
      <c r="D61" s="41" t="s">
        <v>744</v>
      </c>
      <c r="E61" s="41" t="s">
        <v>745</v>
      </c>
      <c r="F61" s="41" t="s">
        <v>746</v>
      </c>
      <c r="G61" s="41" t="s">
        <v>747</v>
      </c>
      <c r="H61" s="41" t="s">
        <v>748</v>
      </c>
      <c r="I61" s="41" t="s">
        <v>749</v>
      </c>
      <c r="J61" s="41" t="s">
        <v>750</v>
      </c>
      <c r="K61" s="41" t="s">
        <v>751</v>
      </c>
      <c r="L61" s="41" t="s">
        <v>752</v>
      </c>
    </row>
    <row r="62" spans="1:14" ht="35.1" customHeight="1">
      <c r="A62" s="41" t="s">
        <v>474</v>
      </c>
      <c r="C62" s="41" t="str">
        <f>CONCATENATE("Please Enter Data upto ",C58," Length only.")</f>
        <v>Please Enter Data upto 11 Length only.</v>
      </c>
      <c r="D62" s="41" t="str">
        <f>CONCATENATE("Please Enter AlphaNumeric Data.Special characters like Space , - . / : are allowed.")</f>
        <v>Please Enter AlphaNumeric Data.Special characters like Space , - . / : are allowed.</v>
      </c>
      <c r="E62" s="41" t="str">
        <f>CONCATENATE("Please Enter Data upto ",E58," Length only.")</f>
        <v>Please Enter Data upto 10 Length only.</v>
      </c>
      <c r="F62" s="41" t="str">
        <f>CONCATENATE("Please Enter AlphaNumeric Data.Special characters like Space , - . / : are allowed.")</f>
        <v>Please Enter AlphaNumeric Data.Special characters like Space , - . / : are allowed.</v>
      </c>
      <c r="G62" s="41" t="str">
        <f>CONCATENATE("Please Enter AlphaNumeric Data.Special characters like Space , - . /  : are allowed.")</f>
        <v>Please Enter AlphaNumeric Data.Special characters like Space , - . /  : are allowed.</v>
      </c>
      <c r="H62" s="41" t="str">
        <f>CONCATENATE("Please Enter AlphaNumeric Data.Special characters are not allowed.")</f>
        <v>Please Enter AlphaNumeric Data.Special characters are not allowed.</v>
      </c>
      <c r="I62" s="41" t="str">
        <f>CONCATENATE("Please Enter Numeric Data Only.")</f>
        <v>Please Enter Numeric Data Only.</v>
      </c>
      <c r="J62" s="41" t="str">
        <f>CONCATENATE("Please Enter Numeric Data Only.")</f>
        <v>Please Enter Numeric Data Only.</v>
      </c>
      <c r="K62" s="41" t="str">
        <f>CONCATENATE("Please Enter AlphaNumeric Data.Special characters like Space , - . /  : are allowed.")</f>
        <v>Please Enter AlphaNumeric Data.Special characters like Space , - . /  : are allowed.</v>
      </c>
      <c r="L62" s="41" t="str">
        <f>CONCATENATE("Please Enter Data upto ",L58," Length only.")</f>
        <v>Please Enter Data upto 10 Length only.</v>
      </c>
    </row>
    <row r="63" spans="1:14" ht="35.1" customHeight="1">
      <c r="A63" s="41" t="s">
        <v>476</v>
      </c>
      <c r="D63" s="41" t="s">
        <v>753</v>
      </c>
      <c r="E63" s="41" t="s">
        <v>754</v>
      </c>
      <c r="F63" s="41" t="s">
        <v>1224</v>
      </c>
      <c r="G63" s="41" t="s">
        <v>755</v>
      </c>
      <c r="H63" s="41" t="s">
        <v>756</v>
      </c>
      <c r="I63" s="41" t="s">
        <v>757</v>
      </c>
      <c r="J63" s="41" t="s">
        <v>758</v>
      </c>
      <c r="K63" s="41" t="s">
        <v>1230</v>
      </c>
      <c r="L63" s="41" t="s">
        <v>759</v>
      </c>
    </row>
    <row r="64" spans="1:14" ht="35.1" customHeight="1">
      <c r="A64" s="41" t="s">
        <v>474</v>
      </c>
      <c r="C64" s="41" t="s">
        <v>760</v>
      </c>
      <c r="D64" s="41" t="str">
        <f t="shared" ref="D64:J64" si="9">CONCATENATE("Please Enter Data upto ",D58," Length only.")</f>
        <v>Please Enter Data upto 50 Length only.</v>
      </c>
      <c r="E64" s="41" t="s">
        <v>617</v>
      </c>
      <c r="F64" s="41" t="str">
        <f t="shared" si="9"/>
        <v>Please Enter Data upto 40 Length only.</v>
      </c>
      <c r="G64" s="41" t="str">
        <f t="shared" si="9"/>
        <v>Please Enter Data upto 200 Length only.</v>
      </c>
      <c r="H64" s="41" t="str">
        <f t="shared" si="9"/>
        <v>Please Enter Data upto 20 Length only.</v>
      </c>
      <c r="I64" s="41" t="str">
        <f t="shared" si="9"/>
        <v>Please Enter Data upto 15 Length only.</v>
      </c>
      <c r="J64" s="41" t="str">
        <f t="shared" si="9"/>
        <v>Please Enter Data upto 15 Length only.</v>
      </c>
      <c r="K64" s="41" t="str">
        <f>CONCATENATE("Please Enter Data upto ",K58," Length only.")</f>
        <v>Please Enter Data upto 40 Length only.</v>
      </c>
      <c r="L64" s="41" t="s">
        <v>617</v>
      </c>
    </row>
    <row r="65" spans="1:14" ht="35.1" customHeight="1">
      <c r="A65" s="41" t="s">
        <v>619</v>
      </c>
      <c r="F65" s="41" t="s">
        <v>1213</v>
      </c>
      <c r="L65" s="41" t="s">
        <v>1241</v>
      </c>
    </row>
    <row r="66" spans="1:14" ht="35.1" customHeight="1">
      <c r="A66" s="41" t="s">
        <v>474</v>
      </c>
      <c r="F66" s="41" t="s">
        <v>1215</v>
      </c>
      <c r="K66" s="41" t="s">
        <v>620</v>
      </c>
      <c r="L66" s="41" t="s">
        <v>1242</v>
      </c>
    </row>
    <row r="68" spans="1:14" ht="35.1" customHeight="1">
      <c r="A68" s="42" t="s">
        <v>761</v>
      </c>
      <c r="B68" s="43" t="s">
        <v>728</v>
      </c>
      <c r="C68" s="43" t="s">
        <v>729</v>
      </c>
      <c r="D68" s="43" t="s">
        <v>730</v>
      </c>
      <c r="E68" s="43" t="s">
        <v>580</v>
      </c>
      <c r="F68" s="43" t="s">
        <v>581</v>
      </c>
      <c r="G68" s="43" t="s">
        <v>582</v>
      </c>
      <c r="H68" s="43" t="s">
        <v>678</v>
      </c>
      <c r="I68" s="43" t="s">
        <v>583</v>
      </c>
      <c r="J68" s="43" t="s">
        <v>584</v>
      </c>
      <c r="K68" s="42" t="s">
        <v>585</v>
      </c>
      <c r="L68" s="42" t="s">
        <v>586</v>
      </c>
      <c r="N68" s="41" t="s">
        <v>1170</v>
      </c>
    </row>
    <row r="69" spans="1:14" ht="35.1" customHeight="1">
      <c r="A69" s="41" t="s">
        <v>472</v>
      </c>
      <c r="B69" s="41" t="s">
        <v>66</v>
      </c>
      <c r="C69" s="41" t="s">
        <v>66</v>
      </c>
      <c r="D69" s="41" t="s">
        <v>66</v>
      </c>
      <c r="E69" s="41" t="s">
        <v>66</v>
      </c>
      <c r="F69" s="41" t="s">
        <v>66</v>
      </c>
      <c r="G69" s="41" t="s">
        <v>66</v>
      </c>
      <c r="H69" s="41" t="s">
        <v>66</v>
      </c>
      <c r="I69" s="41" t="s">
        <v>66</v>
      </c>
      <c r="J69" s="41" t="s">
        <v>63</v>
      </c>
      <c r="K69" s="41" t="s">
        <v>66</v>
      </c>
      <c r="L69" s="41" t="s">
        <v>66</v>
      </c>
    </row>
    <row r="70" spans="1:14" ht="35.1" customHeight="1">
      <c r="A70" s="41" t="s">
        <v>471</v>
      </c>
      <c r="C70" s="41">
        <v>11</v>
      </c>
      <c r="D70" s="41">
        <v>50</v>
      </c>
      <c r="E70" s="41">
        <v>10</v>
      </c>
      <c r="F70" s="41">
        <v>40</v>
      </c>
      <c r="G70" s="41">
        <v>200</v>
      </c>
      <c r="H70" s="41">
        <v>20</v>
      </c>
      <c r="I70" s="41">
        <v>15</v>
      </c>
      <c r="J70" s="41">
        <v>15</v>
      </c>
      <c r="K70" s="41">
        <v>40</v>
      </c>
      <c r="L70" s="41">
        <v>10</v>
      </c>
    </row>
    <row r="71" spans="1:14" ht="35.1" customHeight="1">
      <c r="A71" s="41" t="s">
        <v>473</v>
      </c>
      <c r="B71" s="41" t="s">
        <v>762</v>
      </c>
      <c r="C71" s="41" t="s">
        <v>763</v>
      </c>
      <c r="D71" s="41" t="s">
        <v>764</v>
      </c>
      <c r="E71" s="41" t="s">
        <v>765</v>
      </c>
      <c r="F71" s="41" t="s">
        <v>766</v>
      </c>
      <c r="G71" s="41" t="s">
        <v>767</v>
      </c>
      <c r="H71" s="41" t="s">
        <v>768</v>
      </c>
      <c r="I71" s="41" t="s">
        <v>769</v>
      </c>
      <c r="J71" s="41" t="s">
        <v>770</v>
      </c>
      <c r="K71" s="41" t="s">
        <v>771</v>
      </c>
      <c r="L71" s="41" t="s">
        <v>772</v>
      </c>
    </row>
    <row r="72" spans="1:14" ht="35.1" customHeight="1">
      <c r="A72" s="41" t="s">
        <v>474</v>
      </c>
      <c r="B72" s="41" t="str">
        <f t="shared" ref="B72:J72" si="10">CONCATENATE(B68," is Mandatory field.")</f>
        <v>Type of Purchases is Mandatory field.</v>
      </c>
      <c r="C72" s="41" t="str">
        <f t="shared" si="10"/>
        <v>PIN of Supplier is Mandatory field.</v>
      </c>
      <c r="D72" s="41" t="str">
        <f t="shared" si="10"/>
        <v>Name of Supplier is Mandatory field.</v>
      </c>
      <c r="E72" s="41" t="str">
        <f t="shared" si="10"/>
        <v>Invoice Date is Mandatory field.</v>
      </c>
      <c r="F72" s="41" t="str">
        <f t="shared" si="10"/>
        <v>Invoice Number is Mandatory field.</v>
      </c>
      <c r="G72" s="41" t="str">
        <f t="shared" si="10"/>
        <v>Description of Goods / Services is Mandatory field.</v>
      </c>
      <c r="H72" s="41" t="str">
        <f t="shared" si="10"/>
        <v>Custom Entry Number is Mandatory field.</v>
      </c>
      <c r="I72" s="41" t="str">
        <f t="shared" si="10"/>
        <v>Taxable Value is Mandatory field.</v>
      </c>
      <c r="J72" s="41" t="str">
        <f t="shared" si="10"/>
        <v>Amount of VAT  is Mandatory field.</v>
      </c>
      <c r="K72" s="41" t="str">
        <f>CONCATENATE(K68," is Mandatory field.")</f>
        <v>Relevant Invoice Number is Mandatory field.</v>
      </c>
      <c r="L72" s="41" t="str">
        <f>CONCATENATE(L68," is Mandatory field.")</f>
        <v>Relevant Invoice Date is Mandatory field.</v>
      </c>
    </row>
    <row r="73" spans="1:14" ht="35.1" customHeight="1">
      <c r="A73" s="41" t="s">
        <v>475</v>
      </c>
      <c r="C73" s="41" t="s">
        <v>773</v>
      </c>
      <c r="D73" s="41" t="s">
        <v>774</v>
      </c>
      <c r="E73" s="41" t="s">
        <v>775</v>
      </c>
      <c r="F73" s="41" t="s">
        <v>776</v>
      </c>
      <c r="G73" s="41" t="s">
        <v>777</v>
      </c>
      <c r="H73" s="41" t="s">
        <v>778</v>
      </c>
      <c r="I73" s="41" t="s">
        <v>779</v>
      </c>
      <c r="J73" s="41" t="s">
        <v>780</v>
      </c>
      <c r="K73" s="41" t="s">
        <v>781</v>
      </c>
      <c r="L73" s="41" t="s">
        <v>782</v>
      </c>
    </row>
    <row r="74" spans="1:14" ht="35.1" customHeight="1">
      <c r="A74" s="41" t="s">
        <v>474</v>
      </c>
      <c r="C74" s="41" t="str">
        <f>CONCATENATE("Please Enter Data upto ",C70," Length only.")</f>
        <v>Please Enter Data upto 11 Length only.</v>
      </c>
      <c r="D74" s="41" t="str">
        <f>CONCATENATE("Please Enter AlphaNumeric Data.Special characters like Space , - . / : are allowed.")</f>
        <v>Please Enter AlphaNumeric Data.Special characters like Space , - . / : are allowed.</v>
      </c>
      <c r="E74" s="41" t="str">
        <f>CONCATENATE("Please Enter Data upto ",E70," Length only.")</f>
        <v>Please Enter Data upto 10 Length only.</v>
      </c>
      <c r="F74" s="41" t="str">
        <f>CONCATENATE("Please Enter AlphaNumeric Data.Special characters like Space , - . /  : are allowed.")</f>
        <v>Please Enter AlphaNumeric Data.Special characters like Space , - . /  : are allowed.</v>
      </c>
      <c r="G74" s="41" t="str">
        <f>CONCATENATE("Please Enter AlphaNumeric Data.Special characters like Space , - . / : are allowed.")</f>
        <v>Please Enter AlphaNumeric Data.Special characters like Space , - . / : are allowed.</v>
      </c>
      <c r="H74" s="41" t="str">
        <f>CONCATENATE("Please Enter AlphaNumeric Data.Special characters are not allowed.")</f>
        <v>Please Enter AlphaNumeric Data.Special characters are not allowed.</v>
      </c>
      <c r="I74" s="41" t="str">
        <f>CONCATENATE("Please Enter Numeric Data Only.")</f>
        <v>Please Enter Numeric Data Only.</v>
      </c>
      <c r="J74" s="41" t="str">
        <f>CONCATENATE("Please Enter Numeric Data Only.")</f>
        <v>Please Enter Numeric Data Only.</v>
      </c>
      <c r="K74" s="41" t="str">
        <f>CONCATENATE("Please Enter AlphaNumeric Data.Special characters like Space , - . /  : are allowed.")</f>
        <v>Please Enter AlphaNumeric Data.Special characters like Space , - . /  : are allowed.</v>
      </c>
      <c r="L74" s="41" t="str">
        <f>CONCATENATE("Please Enter Data upto ",L70," Length only.")</f>
        <v>Please Enter Data upto 10 Length only.</v>
      </c>
    </row>
    <row r="75" spans="1:14" ht="35.1" customHeight="1">
      <c r="A75" s="41" t="s">
        <v>476</v>
      </c>
      <c r="D75" s="41" t="s">
        <v>783</v>
      </c>
      <c r="E75" s="41" t="s">
        <v>784</v>
      </c>
      <c r="F75" s="41" t="s">
        <v>1225</v>
      </c>
      <c r="G75" s="41" t="s">
        <v>785</v>
      </c>
      <c r="H75" s="41" t="s">
        <v>786</v>
      </c>
      <c r="I75" s="41" t="s">
        <v>787</v>
      </c>
      <c r="J75" s="41" t="s">
        <v>788</v>
      </c>
      <c r="K75" s="41" t="s">
        <v>1229</v>
      </c>
      <c r="L75" s="41" t="s">
        <v>789</v>
      </c>
    </row>
    <row r="76" spans="1:14" ht="35.1" customHeight="1">
      <c r="A76" s="41" t="s">
        <v>474</v>
      </c>
      <c r="C76" s="41" t="s">
        <v>760</v>
      </c>
      <c r="D76" s="41" t="str">
        <f t="shared" ref="D76:J76" si="11">CONCATENATE("Please Enter Data upto ",D70," Length only.")</f>
        <v>Please Enter Data upto 50 Length only.</v>
      </c>
      <c r="E76" s="41" t="s">
        <v>617</v>
      </c>
      <c r="F76" s="41" t="str">
        <f t="shared" si="11"/>
        <v>Please Enter Data upto 40 Length only.</v>
      </c>
      <c r="G76" s="41" t="str">
        <f t="shared" si="11"/>
        <v>Please Enter Data upto 200 Length only.</v>
      </c>
      <c r="H76" s="41" t="str">
        <f t="shared" si="11"/>
        <v>Please Enter Data upto 20 Length only.</v>
      </c>
      <c r="I76" s="41" t="str">
        <f t="shared" si="11"/>
        <v>Please Enter Data upto 15 Length only.</v>
      </c>
      <c r="J76" s="41" t="str">
        <f t="shared" si="11"/>
        <v>Please Enter Data upto 15 Length only.</v>
      </c>
      <c r="K76" s="41" t="str">
        <f>CONCATENATE("Please Enter Data upto ",K70," Length only.")</f>
        <v>Please Enter Data upto 40 Length only.</v>
      </c>
      <c r="L76" s="41" t="s">
        <v>617</v>
      </c>
    </row>
    <row r="77" spans="1:14" ht="35.1" customHeight="1">
      <c r="A77" s="41" t="s">
        <v>619</v>
      </c>
      <c r="L77" s="41" t="s">
        <v>1240</v>
      </c>
    </row>
    <row r="78" spans="1:14" ht="35.1" customHeight="1">
      <c r="A78" s="41" t="s">
        <v>474</v>
      </c>
      <c r="K78" s="41" t="s">
        <v>620</v>
      </c>
      <c r="L78" s="41" t="s">
        <v>1242</v>
      </c>
    </row>
    <row r="80" spans="1:14" ht="35.1" customHeight="1">
      <c r="A80" s="42" t="s">
        <v>790</v>
      </c>
      <c r="B80" s="43" t="s">
        <v>728</v>
      </c>
      <c r="C80" s="43" t="s">
        <v>729</v>
      </c>
      <c r="D80" s="43" t="s">
        <v>730</v>
      </c>
      <c r="E80" s="43" t="s">
        <v>580</v>
      </c>
      <c r="F80" s="43" t="s">
        <v>581</v>
      </c>
      <c r="G80" s="43" t="s">
        <v>1171</v>
      </c>
      <c r="H80" s="43" t="s">
        <v>582</v>
      </c>
      <c r="I80" s="43" t="s">
        <v>678</v>
      </c>
      <c r="J80" s="43" t="s">
        <v>583</v>
      </c>
      <c r="N80" s="41" t="s">
        <v>791</v>
      </c>
    </row>
    <row r="81" spans="1:14" ht="35.1" customHeight="1">
      <c r="A81" s="41" t="s">
        <v>472</v>
      </c>
      <c r="B81" s="41" t="s">
        <v>66</v>
      </c>
      <c r="C81" s="41" t="s">
        <v>66</v>
      </c>
      <c r="D81" s="41" t="s">
        <v>66</v>
      </c>
      <c r="E81" s="41" t="s">
        <v>66</v>
      </c>
      <c r="F81" s="41" t="s">
        <v>66</v>
      </c>
      <c r="G81" s="41" t="s">
        <v>66</v>
      </c>
      <c r="H81" s="41" t="s">
        <v>66</v>
      </c>
      <c r="I81" s="41" t="s">
        <v>66</v>
      </c>
      <c r="J81" s="41" t="s">
        <v>66</v>
      </c>
    </row>
    <row r="82" spans="1:14" ht="35.1" customHeight="1">
      <c r="A82" s="41" t="s">
        <v>471</v>
      </c>
      <c r="C82" s="41">
        <v>11</v>
      </c>
      <c r="D82" s="41">
        <v>50</v>
      </c>
      <c r="E82" s="41">
        <v>10</v>
      </c>
      <c r="F82" s="41">
        <v>40</v>
      </c>
      <c r="H82" s="41">
        <v>200</v>
      </c>
      <c r="I82" s="41">
        <v>20</v>
      </c>
      <c r="J82" s="41">
        <v>15</v>
      </c>
    </row>
    <row r="83" spans="1:14" ht="35.1" customHeight="1">
      <c r="A83" s="41" t="s">
        <v>473</v>
      </c>
      <c r="B83" s="41" t="s">
        <v>792</v>
      </c>
      <c r="C83" s="41" t="s">
        <v>793</v>
      </c>
      <c r="D83" s="41" t="s">
        <v>794</v>
      </c>
      <c r="E83" s="41" t="s">
        <v>795</v>
      </c>
      <c r="F83" s="41" t="s">
        <v>796</v>
      </c>
      <c r="G83" s="41" t="s">
        <v>797</v>
      </c>
      <c r="H83" s="41" t="s">
        <v>798</v>
      </c>
      <c r="I83" s="41" t="s">
        <v>799</v>
      </c>
      <c r="J83" s="41" t="s">
        <v>1172</v>
      </c>
    </row>
    <row r="84" spans="1:14" ht="35.1" customHeight="1">
      <c r="A84" s="41" t="s">
        <v>474</v>
      </c>
      <c r="B84" s="41" t="str">
        <f t="shared" ref="B84:G84" si="12">CONCATENATE(B80," is Mandatory field.")</f>
        <v>Type of Purchases is Mandatory field.</v>
      </c>
      <c r="C84" s="41" t="str">
        <f t="shared" si="12"/>
        <v>PIN of Supplier is Mandatory field.</v>
      </c>
      <c r="D84" s="41" t="str">
        <f t="shared" si="12"/>
        <v>Name of Supplier is Mandatory field.</v>
      </c>
      <c r="E84" s="41" t="str">
        <f t="shared" si="12"/>
        <v>Invoice Date is Mandatory field.</v>
      </c>
      <c r="F84" s="41" t="str">
        <f t="shared" si="12"/>
        <v>Invoice Number is Mandatory field.</v>
      </c>
      <c r="G84" s="41" t="str">
        <f t="shared" si="12"/>
        <v>Type of Imports is Mandatory field.</v>
      </c>
      <c r="H84" s="41" t="str">
        <f>CONCATENATE(H80," is Mandatory field.")</f>
        <v>Description of Goods / Services is Mandatory field.</v>
      </c>
      <c r="I84" s="41" t="str">
        <f>CONCATENATE(I80," is Mandatory field.")</f>
        <v>Custom Entry Number is Mandatory field.</v>
      </c>
      <c r="J84" s="41" t="str">
        <f>CONCATENATE(J80," is Mandatory field.")</f>
        <v>Taxable Value is Mandatory field.</v>
      </c>
    </row>
    <row r="85" spans="1:14" ht="35.1" customHeight="1">
      <c r="A85" s="41" t="s">
        <v>475</v>
      </c>
      <c r="C85" s="41" t="s">
        <v>800</v>
      </c>
      <c r="D85" s="41" t="s">
        <v>801</v>
      </c>
      <c r="E85" s="41" t="s">
        <v>802</v>
      </c>
      <c r="F85" s="41" t="s">
        <v>803</v>
      </c>
      <c r="H85" s="41" t="s">
        <v>1173</v>
      </c>
      <c r="I85" s="41" t="s">
        <v>1174</v>
      </c>
      <c r="J85" s="41" t="s">
        <v>1175</v>
      </c>
    </row>
    <row r="86" spans="1:14" ht="35.1" customHeight="1">
      <c r="A86" s="41" t="s">
        <v>474</v>
      </c>
      <c r="C86" s="41" t="str">
        <f>CONCATENATE("Please Enter Data upto ",C82," Length only.")</f>
        <v>Please Enter Data upto 11 Length only.</v>
      </c>
      <c r="D86" s="41" t="str">
        <f>CONCATENATE("Please Enter AlphaNumeric Data.Special characters like Space , - . / : are allowed.")</f>
        <v>Please Enter AlphaNumeric Data.Special characters like Space , - . / : are allowed.</v>
      </c>
      <c r="E86" s="41" t="str">
        <f>CONCATENATE("Please Enter Data upto ",E82," Length only.")</f>
        <v>Please Enter Data upto 10 Length only.</v>
      </c>
      <c r="F86" s="41" t="str">
        <f>CONCATENATE("Please Enter AlphaNumeric Data.Special characters like Space , - . /  : are allowed.")</f>
        <v>Please Enter AlphaNumeric Data.Special characters like Space , - . /  : are allowed.</v>
      </c>
      <c r="H86" s="41" t="str">
        <f>CONCATENATE("Please Enter AlphaNumeric Data.Special characters like Space , - . / : are allowed.")</f>
        <v>Please Enter AlphaNumeric Data.Special characters like Space , - . / : are allowed.</v>
      </c>
      <c r="I86" s="41" t="str">
        <f>CONCATENATE("Please Enter AlphaNumeric Data.Special characters are not allowed.")</f>
        <v>Please Enter AlphaNumeric Data.Special characters are not allowed.</v>
      </c>
      <c r="J86" s="41" t="str">
        <f>CONCATENATE("Please Enter Numeric Data Only.")</f>
        <v>Please Enter Numeric Data Only.</v>
      </c>
    </row>
    <row r="87" spans="1:14" ht="35.1" customHeight="1">
      <c r="A87" s="41" t="s">
        <v>476</v>
      </c>
      <c r="D87" s="41" t="s">
        <v>804</v>
      </c>
      <c r="E87" s="41" t="s">
        <v>805</v>
      </c>
      <c r="F87" s="41" t="s">
        <v>1226</v>
      </c>
      <c r="H87" s="41" t="s">
        <v>1176</v>
      </c>
      <c r="I87" s="41" t="s">
        <v>1177</v>
      </c>
      <c r="J87" s="41" t="s">
        <v>1178</v>
      </c>
    </row>
    <row r="88" spans="1:14" ht="35.1" customHeight="1">
      <c r="A88" s="41" t="s">
        <v>474</v>
      </c>
      <c r="C88" s="41" t="s">
        <v>760</v>
      </c>
      <c r="D88" s="41" t="str">
        <f>CONCATENATE("Please Enter Data upto ",D82," Length only.")</f>
        <v>Please Enter Data upto 50 Length only.</v>
      </c>
      <c r="E88" s="41" t="s">
        <v>617</v>
      </c>
      <c r="F88" s="41" t="str">
        <f>CONCATENATE("Please Enter Data upto ",F82," Length only.")</f>
        <v>Please Enter Data upto 40 Length only.</v>
      </c>
      <c r="H88" s="41" t="str">
        <f>CONCATENATE("Please Enter Data upto ",H82," Length only.")</f>
        <v>Please Enter Data upto 200 Length only.</v>
      </c>
      <c r="I88" s="41" t="str">
        <f>CONCATENATE("Please Enter Data upto ",I82," Length only.")</f>
        <v>Please Enter Data upto 20 Length only.</v>
      </c>
      <c r="J88" s="41" t="str">
        <f>CONCATENATE("Please Enter Data upto ",J82," Length only.")</f>
        <v>Please Enter Data upto 15 Length only.</v>
      </c>
    </row>
    <row r="90" spans="1:14" ht="35.1" customHeight="1">
      <c r="A90" s="42" t="s">
        <v>806</v>
      </c>
      <c r="B90" s="43" t="s">
        <v>728</v>
      </c>
      <c r="C90" s="43" t="s">
        <v>729</v>
      </c>
      <c r="D90" s="43" t="s">
        <v>730</v>
      </c>
      <c r="E90" s="43" t="s">
        <v>580</v>
      </c>
      <c r="F90" s="43" t="s">
        <v>581</v>
      </c>
      <c r="G90" s="43" t="s">
        <v>582</v>
      </c>
      <c r="H90" s="43" t="s">
        <v>678</v>
      </c>
      <c r="I90" s="43" t="s">
        <v>583</v>
      </c>
      <c r="N90" s="41" t="s">
        <v>807</v>
      </c>
    </row>
    <row r="91" spans="1:14" ht="35.1" customHeight="1">
      <c r="A91" s="41" t="s">
        <v>472</v>
      </c>
      <c r="B91" s="41" t="s">
        <v>66</v>
      </c>
      <c r="C91" s="41" t="s">
        <v>66</v>
      </c>
      <c r="D91" s="41" t="s">
        <v>66</v>
      </c>
      <c r="E91" s="41" t="s">
        <v>66</v>
      </c>
      <c r="F91" s="41" t="s">
        <v>66</v>
      </c>
      <c r="G91" s="41" t="s">
        <v>66</v>
      </c>
      <c r="H91" s="41" t="s">
        <v>66</v>
      </c>
      <c r="I91" s="41" t="s">
        <v>66</v>
      </c>
    </row>
    <row r="92" spans="1:14" ht="35.1" customHeight="1">
      <c r="A92" s="41" t="s">
        <v>471</v>
      </c>
      <c r="C92" s="41">
        <v>11</v>
      </c>
      <c r="D92" s="41">
        <v>50</v>
      </c>
      <c r="E92" s="41">
        <v>10</v>
      </c>
      <c r="F92" s="41">
        <v>40</v>
      </c>
      <c r="G92" s="41">
        <v>200</v>
      </c>
      <c r="H92" s="41">
        <v>20</v>
      </c>
      <c r="I92" s="41">
        <v>15</v>
      </c>
    </row>
    <row r="93" spans="1:14" ht="35.1" customHeight="1">
      <c r="A93" s="41" t="s">
        <v>473</v>
      </c>
      <c r="B93" s="41" t="s">
        <v>808</v>
      </c>
      <c r="C93" s="41" t="s">
        <v>809</v>
      </c>
      <c r="D93" s="41" t="s">
        <v>810</v>
      </c>
      <c r="E93" s="41" t="s">
        <v>811</v>
      </c>
      <c r="F93" s="41" t="s">
        <v>812</v>
      </c>
      <c r="G93" s="41" t="s">
        <v>813</v>
      </c>
      <c r="H93" s="41" t="s">
        <v>814</v>
      </c>
      <c r="I93" s="41" t="s">
        <v>815</v>
      </c>
    </row>
    <row r="94" spans="1:14" ht="35.1" customHeight="1">
      <c r="A94" s="41" t="s">
        <v>474</v>
      </c>
      <c r="B94" s="41" t="str">
        <f t="shared" ref="B94:I94" si="13">CONCATENATE(B90," is Mandatory field.")</f>
        <v>Type of Purchases is Mandatory field.</v>
      </c>
      <c r="C94" s="41" t="str">
        <f t="shared" si="13"/>
        <v>PIN of Supplier is Mandatory field.</v>
      </c>
      <c r="D94" s="41" t="str">
        <f t="shared" si="13"/>
        <v>Name of Supplier is Mandatory field.</v>
      </c>
      <c r="E94" s="41" t="str">
        <f t="shared" si="13"/>
        <v>Invoice Date is Mandatory field.</v>
      </c>
      <c r="F94" s="41" t="str">
        <f t="shared" si="13"/>
        <v>Invoice Number is Mandatory field.</v>
      </c>
      <c r="G94" s="41" t="str">
        <f t="shared" si="13"/>
        <v>Description of Goods / Services is Mandatory field.</v>
      </c>
      <c r="H94" s="41" t="str">
        <f t="shared" si="13"/>
        <v>Custom Entry Number is Mandatory field.</v>
      </c>
      <c r="I94" s="41" t="str">
        <f t="shared" si="13"/>
        <v>Taxable Value is Mandatory field.</v>
      </c>
    </row>
    <row r="95" spans="1:14" ht="35.1" customHeight="1">
      <c r="A95" s="41" t="s">
        <v>475</v>
      </c>
      <c r="C95" s="41" t="s">
        <v>816</v>
      </c>
      <c r="D95" s="41" t="s">
        <v>817</v>
      </c>
      <c r="E95" s="41" t="s">
        <v>818</v>
      </c>
      <c r="F95" s="41" t="s">
        <v>819</v>
      </c>
      <c r="G95" s="41" t="s">
        <v>820</v>
      </c>
      <c r="H95" s="41" t="s">
        <v>821</v>
      </c>
      <c r="I95" s="41" t="s">
        <v>822</v>
      </c>
    </row>
    <row r="96" spans="1:14" ht="35.1" customHeight="1">
      <c r="A96" s="41" t="s">
        <v>474</v>
      </c>
      <c r="C96" s="41" t="str">
        <f>CONCATENATE("Please Enter Data upto ",C92," Length only.")</f>
        <v>Please Enter Data upto 11 Length only.</v>
      </c>
      <c r="D96" s="41" t="str">
        <f>CONCATENATE("Please Enter AlphaNumeric Data.Special characters like Space , - . / : are allowed.")</f>
        <v>Please Enter AlphaNumeric Data.Special characters like Space , - . / : are allowed.</v>
      </c>
      <c r="E96" s="41" t="str">
        <f>CONCATENATE("Please Enter Data upto ",E92," Length only.")</f>
        <v>Please Enter Data upto 10 Length only.</v>
      </c>
      <c r="F96" s="41" t="str">
        <f>CONCATENATE("Please Enter AlphaNumeric Data.Special characters like Space , - . / : are allowed.")</f>
        <v>Please Enter AlphaNumeric Data.Special characters like Space , - . / : are allowed.</v>
      </c>
      <c r="G96" s="41" t="str">
        <f>CONCATENATE("Please Enter AlphaNumeric Data.Special characters like Space , - . / : are allowed.")</f>
        <v>Please Enter AlphaNumeric Data.Special characters like Space , - . / : are allowed.</v>
      </c>
      <c r="H96" s="41" t="str">
        <f>CONCATENATE("Please Enter AlphaNumeric Data.Special characters not allowed.")</f>
        <v>Please Enter AlphaNumeric Data.Special characters not allowed.</v>
      </c>
      <c r="I96" s="41" t="str">
        <f>CONCATENATE("Please Enter Numeric Data Only.")</f>
        <v>Please Enter Numeric Data Only.</v>
      </c>
    </row>
    <row r="97" spans="1:14" ht="35.1" customHeight="1">
      <c r="A97" s="41" t="s">
        <v>476</v>
      </c>
      <c r="D97" s="41" t="s">
        <v>823</v>
      </c>
      <c r="E97" s="41" t="s">
        <v>824</v>
      </c>
      <c r="F97" s="41" t="s">
        <v>1227</v>
      </c>
      <c r="G97" s="41" t="s">
        <v>825</v>
      </c>
      <c r="H97" s="41" t="s">
        <v>826</v>
      </c>
      <c r="I97" s="41" t="s">
        <v>827</v>
      </c>
    </row>
    <row r="98" spans="1:14" ht="35.1" customHeight="1">
      <c r="A98" s="41" t="s">
        <v>474</v>
      </c>
      <c r="C98" s="41" t="s">
        <v>760</v>
      </c>
      <c r="D98" s="41" t="str">
        <f t="shared" ref="D98:I98" si="14">CONCATENATE("Please Enter Data upto ",D92," Length only.")</f>
        <v>Please Enter Data upto 50 Length only.</v>
      </c>
      <c r="E98" s="41" t="s">
        <v>617</v>
      </c>
      <c r="F98" s="41" t="str">
        <f t="shared" si="14"/>
        <v>Please Enter Data upto 40 Length only.</v>
      </c>
      <c r="G98" s="41" t="str">
        <f t="shared" si="14"/>
        <v>Please Enter Data upto 200 Length only.</v>
      </c>
      <c r="H98" s="41" t="str">
        <f t="shared" si="14"/>
        <v>Please Enter Data upto 20 Length only.</v>
      </c>
      <c r="I98" s="41" t="str">
        <f t="shared" si="14"/>
        <v>Please Enter Data upto 15 Length only.</v>
      </c>
    </row>
    <row r="100" spans="1:14" ht="35.1" customHeight="1">
      <c r="A100" s="42" t="s">
        <v>828</v>
      </c>
      <c r="B100" s="260" t="s">
        <v>730</v>
      </c>
      <c r="C100" s="260" t="s">
        <v>582</v>
      </c>
      <c r="D100" s="260" t="s">
        <v>829</v>
      </c>
      <c r="E100" s="260" t="s">
        <v>580</v>
      </c>
      <c r="F100" s="260" t="s">
        <v>581</v>
      </c>
      <c r="G100" s="260" t="s">
        <v>830</v>
      </c>
      <c r="H100" s="42" t="s">
        <v>831</v>
      </c>
      <c r="N100" s="41" t="s">
        <v>832</v>
      </c>
    </row>
    <row r="101" spans="1:14" ht="35.1" customHeight="1">
      <c r="A101" s="41" t="s">
        <v>472</v>
      </c>
      <c r="B101" s="41" t="s">
        <v>66</v>
      </c>
      <c r="C101" s="41" t="s">
        <v>66</v>
      </c>
      <c r="D101" s="41" t="s">
        <v>66</v>
      </c>
      <c r="E101" s="41" t="s">
        <v>63</v>
      </c>
      <c r="F101" s="41" t="s">
        <v>66</v>
      </c>
      <c r="G101" s="41" t="s">
        <v>66</v>
      </c>
      <c r="H101" s="41" t="s">
        <v>66</v>
      </c>
    </row>
    <row r="102" spans="1:14" ht="35.1" customHeight="1">
      <c r="A102" s="41" t="s">
        <v>471</v>
      </c>
      <c r="B102" s="41">
        <v>50</v>
      </c>
      <c r="C102" s="41">
        <v>200</v>
      </c>
      <c r="D102" s="41">
        <v>10</v>
      </c>
      <c r="E102" s="41">
        <v>10</v>
      </c>
      <c r="F102" s="41">
        <v>40</v>
      </c>
      <c r="G102" s="41">
        <v>20</v>
      </c>
      <c r="H102" s="41">
        <v>15</v>
      </c>
    </row>
    <row r="103" spans="1:14" ht="35.1" customHeight="1">
      <c r="A103" s="41" t="s">
        <v>473</v>
      </c>
      <c r="B103" s="41" t="s">
        <v>833</v>
      </c>
      <c r="C103" s="41" t="s">
        <v>834</v>
      </c>
      <c r="D103" s="41" t="s">
        <v>835</v>
      </c>
      <c r="E103" s="41" t="s">
        <v>836</v>
      </c>
      <c r="F103" s="41" t="s">
        <v>837</v>
      </c>
      <c r="G103" s="41" t="s">
        <v>838</v>
      </c>
      <c r="H103" s="41" t="s">
        <v>839</v>
      </c>
    </row>
    <row r="104" spans="1:14" ht="35.1" customHeight="1">
      <c r="A104" s="41" t="s">
        <v>474</v>
      </c>
      <c r="B104" s="41" t="str">
        <f t="shared" ref="B104:H104" si="15">CONCATENATE(B100," is Mandatory field.")</f>
        <v>Name of Supplier is Mandatory field.</v>
      </c>
      <c r="C104" s="41" t="str">
        <f t="shared" si="15"/>
        <v>Description of Goods / Services is Mandatory field.</v>
      </c>
      <c r="D104" s="41" t="str">
        <f t="shared" si="15"/>
        <v>Transaction Date is Mandatory field.</v>
      </c>
      <c r="E104" s="41" t="str">
        <f t="shared" si="15"/>
        <v>Invoice Date is Mandatory field.</v>
      </c>
      <c r="F104" s="41" t="str">
        <f t="shared" si="15"/>
        <v>Invoice Number is Mandatory field.</v>
      </c>
      <c r="G104" s="41" t="str">
        <f t="shared" si="15"/>
        <v>Payment Registration Number is Mandatory field.</v>
      </c>
      <c r="H104" s="41" t="str">
        <f t="shared" si="15"/>
        <v>Amount of VAT Claimable  is Mandatory field.</v>
      </c>
    </row>
    <row r="105" spans="1:14" ht="35.1" customHeight="1">
      <c r="A105" s="41" t="s">
        <v>475</v>
      </c>
      <c r="B105" s="41" t="s">
        <v>840</v>
      </c>
      <c r="C105" s="41" t="s">
        <v>841</v>
      </c>
      <c r="D105" s="41" t="s">
        <v>842</v>
      </c>
      <c r="E105" s="41" t="s">
        <v>843</v>
      </c>
      <c r="F105" s="41" t="s">
        <v>844</v>
      </c>
      <c r="G105" s="41" t="s">
        <v>845</v>
      </c>
      <c r="H105" s="41" t="s">
        <v>846</v>
      </c>
    </row>
    <row r="106" spans="1:14" ht="35.1" customHeight="1">
      <c r="A106" s="41" t="s">
        <v>474</v>
      </c>
      <c r="B106" s="41" t="str">
        <f>CONCATENATE("Please Enter AlphaNumeric Data.Special characters like Space , - . / : are allowed.")</f>
        <v>Please Enter AlphaNumeric Data.Special characters like Space , - . / : are allowed.</v>
      </c>
      <c r="C106" s="41" t="str">
        <f>CONCATENATE("Please Enter AlphaNumeric Data.Special characters like Space , - . /: are allowed.")</f>
        <v>Please Enter AlphaNumeric Data.Special characters like Space , - . /: are allowed.</v>
      </c>
      <c r="D106" s="41" t="str">
        <f>CONCATENATE("Please Enter Data upto ",D102," Length only.")</f>
        <v>Please Enter Data upto 10 Length only.</v>
      </c>
      <c r="E106" s="41" t="str">
        <f>CONCATENATE("Please Enter Data upto ",E102," Length only.")</f>
        <v>Please Enter Data upto 10 Length only.</v>
      </c>
      <c r="F106" s="41" t="str">
        <f>CONCATENATE("Please Enter AlphaNumeric Data.Special characters like Space , - . /: are allowed.")</f>
        <v>Please Enter AlphaNumeric Data.Special characters like Space , - . /: are allowed.</v>
      </c>
      <c r="G106" s="41" t="str">
        <f>CONCATENATE("Please Enter Numeric Data Only.")</f>
        <v>Please Enter Numeric Data Only.</v>
      </c>
      <c r="H106" s="41" t="str">
        <f>CONCATENATE("Please Enter Numeric Data Only.")</f>
        <v>Please Enter Numeric Data Only.</v>
      </c>
    </row>
    <row r="107" spans="1:14" ht="35.1" customHeight="1">
      <c r="A107" s="41" t="s">
        <v>476</v>
      </c>
      <c r="B107" s="41" t="s">
        <v>847</v>
      </c>
      <c r="C107" s="41" t="s">
        <v>848</v>
      </c>
      <c r="D107" s="41" t="s">
        <v>849</v>
      </c>
      <c r="E107" s="41" t="s">
        <v>850</v>
      </c>
      <c r="F107" s="41" t="s">
        <v>1228</v>
      </c>
      <c r="H107" s="41" t="s">
        <v>851</v>
      </c>
    </row>
    <row r="108" spans="1:14" ht="35.1" customHeight="1">
      <c r="A108" s="41" t="s">
        <v>474</v>
      </c>
      <c r="B108" s="41" t="str">
        <f>CONCATENATE("Please Enter Data upto ",B102," Length only.")</f>
        <v>Please Enter Data upto 50 Length only.</v>
      </c>
      <c r="C108" s="41" t="str">
        <f>CONCATENATE("Please Enter Data upto ",C102," Length only.")</f>
        <v>Please Enter Data upto 200 Length only.</v>
      </c>
      <c r="D108" s="41" t="s">
        <v>617</v>
      </c>
      <c r="E108" s="41" t="s">
        <v>617</v>
      </c>
      <c r="F108" s="41" t="str">
        <f>CONCATENATE("Please Enter Data upto ",F102," Length only.")</f>
        <v>Please Enter Data upto 40 Length only.</v>
      </c>
      <c r="G108" s="41" t="str">
        <f>CONCATENATE("Please enter numeric value.Only Special characters like (-) is allowed.")</f>
        <v>Please enter numeric value.Only Special characters like (-) is allowed.</v>
      </c>
      <c r="H108" s="41" t="str">
        <f>CONCATENATE("Please Enter Data upto ",G102," Length only.")</f>
        <v>Please Enter Data upto 20 Length only.</v>
      </c>
    </row>
    <row r="109" spans="1:14" ht="35.1" customHeight="1">
      <c r="A109" s="41" t="s">
        <v>619</v>
      </c>
      <c r="G109" s="41" t="s">
        <v>852</v>
      </c>
    </row>
    <row r="110" spans="1:14" ht="35.1" customHeight="1">
      <c r="A110" s="41" t="s">
        <v>474</v>
      </c>
      <c r="G110" s="41" t="s">
        <v>853</v>
      </c>
    </row>
    <row r="112" spans="1:14" ht="35.1" customHeight="1">
      <c r="A112" s="186" t="s">
        <v>559</v>
      </c>
      <c r="B112" s="261" t="s">
        <v>830</v>
      </c>
      <c r="C112" s="261" t="s">
        <v>854</v>
      </c>
      <c r="D112" s="261" t="s">
        <v>855</v>
      </c>
      <c r="E112" s="187"/>
      <c r="F112" s="187"/>
      <c r="G112" s="187"/>
      <c r="H112" s="187"/>
      <c r="I112" s="187"/>
      <c r="J112" s="187"/>
      <c r="K112" s="187"/>
      <c r="L112" s="187"/>
      <c r="N112" s="188" t="s">
        <v>570</v>
      </c>
    </row>
    <row r="113" spans="1:14" ht="35.1" customHeight="1">
      <c r="A113" s="189" t="s">
        <v>472</v>
      </c>
      <c r="B113" s="41" t="s">
        <v>66</v>
      </c>
      <c r="C113" s="41" t="s">
        <v>66</v>
      </c>
      <c r="D113" s="41" t="s">
        <v>66</v>
      </c>
      <c r="N113" s="190"/>
    </row>
    <row r="114" spans="1:14" ht="35.1" customHeight="1">
      <c r="A114" s="189" t="s">
        <v>471</v>
      </c>
      <c r="B114" s="41">
        <v>20</v>
      </c>
      <c r="C114" s="41">
        <v>10</v>
      </c>
      <c r="D114" s="41">
        <v>15</v>
      </c>
      <c r="N114" s="190"/>
    </row>
    <row r="115" spans="1:14" ht="35.1" customHeight="1">
      <c r="A115" s="189" t="s">
        <v>473</v>
      </c>
      <c r="B115" s="41" t="s">
        <v>856</v>
      </c>
      <c r="C115" s="41" t="s">
        <v>857</v>
      </c>
      <c r="D115" s="41" t="s">
        <v>858</v>
      </c>
      <c r="N115" s="190"/>
    </row>
    <row r="116" spans="1:14" ht="35.1" customHeight="1">
      <c r="A116" s="189" t="s">
        <v>474</v>
      </c>
      <c r="B116" s="41" t="str">
        <f>CONCATENATE(B112," is Mandatory field.")</f>
        <v>Payment Registration Number is Mandatory field.</v>
      </c>
      <c r="C116" s="41" t="str">
        <f>CONCATENATE(C112," is Mandatory field.")</f>
        <v>Date of Deposit is Mandatory field.</v>
      </c>
      <c r="D116" s="41" t="str">
        <f>CONCATENATE(D112," is Mandatory field.")</f>
        <v>Amount of VAT Paid  is Mandatory field.</v>
      </c>
      <c r="N116" s="190"/>
    </row>
    <row r="117" spans="1:14" ht="35.1" customHeight="1">
      <c r="A117" s="189" t="s">
        <v>475</v>
      </c>
      <c r="B117" s="41" t="s">
        <v>859</v>
      </c>
      <c r="C117" s="41" t="s">
        <v>860</v>
      </c>
      <c r="D117" s="41" t="s">
        <v>861</v>
      </c>
      <c r="N117" s="190"/>
    </row>
    <row r="118" spans="1:14" ht="35.1" customHeight="1">
      <c r="A118" s="189" t="s">
        <v>474</v>
      </c>
      <c r="B118" s="41" t="str">
        <f>CONCATENATE("Please enter numeric value.Only Special characters like (-) is allowed.")</f>
        <v>Please enter numeric value.Only Special characters like (-) is allowed.</v>
      </c>
      <c r="C118" s="41" t="str">
        <f>CONCATENATE("Please Enter Data upto ",C114," Length only.")</f>
        <v>Please Enter Data upto 10 Length only.</v>
      </c>
      <c r="D118" s="41" t="str">
        <f>CONCATENATE("Please Enter Numeric Data Only.")</f>
        <v>Please Enter Numeric Data Only.</v>
      </c>
      <c r="N118" s="190"/>
    </row>
    <row r="119" spans="1:14" ht="35.1" customHeight="1">
      <c r="A119" s="189" t="s">
        <v>476</v>
      </c>
      <c r="D119" s="41" t="s">
        <v>862</v>
      </c>
      <c r="N119" s="190"/>
    </row>
    <row r="120" spans="1:14" ht="35.1" customHeight="1">
      <c r="A120" s="189" t="s">
        <v>474</v>
      </c>
      <c r="B120" s="41" t="str">
        <f>CONCATENATE("Please Enter Data upto ",B114," Length only.")</f>
        <v>Please Enter Data upto 20 Length only.</v>
      </c>
      <c r="C120" s="41" t="s">
        <v>863</v>
      </c>
      <c r="D120" s="41" t="str">
        <f>CONCATENATE("Please Enter Data upto ",D114," Length only.")</f>
        <v>Please Enter Data upto 15 Length only.</v>
      </c>
      <c r="N120" s="190"/>
    </row>
    <row r="121" spans="1:14" ht="35.1" customHeight="1">
      <c r="A121" s="189" t="s">
        <v>619</v>
      </c>
      <c r="B121" s="41" t="s">
        <v>864</v>
      </c>
      <c r="C121" s="41" t="s">
        <v>865</v>
      </c>
      <c r="D121" s="41" t="s">
        <v>866</v>
      </c>
      <c r="N121" s="190"/>
    </row>
    <row r="122" spans="1:14" ht="35.1" customHeight="1">
      <c r="A122" s="189" t="s">
        <v>474</v>
      </c>
      <c r="B122" s="41" t="s">
        <v>853</v>
      </c>
      <c r="C122" s="41" t="s">
        <v>617</v>
      </c>
      <c r="D122" s="41" t="s">
        <v>867</v>
      </c>
      <c r="N122" s="190"/>
    </row>
    <row r="123" spans="1:14" ht="35.1" customHeight="1">
      <c r="A123" s="189"/>
      <c r="N123" s="190"/>
    </row>
    <row r="124" spans="1:14" ht="35.1" customHeight="1">
      <c r="A124" s="194" t="s">
        <v>559</v>
      </c>
      <c r="B124" s="260" t="s">
        <v>830</v>
      </c>
      <c r="C124" s="260" t="s">
        <v>854</v>
      </c>
      <c r="D124" s="260" t="s">
        <v>855</v>
      </c>
      <c r="E124" s="42"/>
      <c r="N124" s="190" t="s">
        <v>567</v>
      </c>
    </row>
    <row r="125" spans="1:14" ht="35.1" customHeight="1">
      <c r="A125" s="189" t="s">
        <v>472</v>
      </c>
      <c r="B125" s="41" t="s">
        <v>66</v>
      </c>
      <c r="C125" s="41" t="s">
        <v>66</v>
      </c>
      <c r="D125" s="41" t="s">
        <v>66</v>
      </c>
      <c r="N125" s="190"/>
    </row>
    <row r="126" spans="1:14" ht="35.1" customHeight="1">
      <c r="A126" s="189" t="s">
        <v>471</v>
      </c>
      <c r="B126" s="41">
        <v>20</v>
      </c>
      <c r="C126" s="41">
        <v>10</v>
      </c>
      <c r="D126" s="41">
        <v>15</v>
      </c>
      <c r="N126" s="190"/>
    </row>
    <row r="127" spans="1:14" ht="35.1" customHeight="1">
      <c r="A127" s="189" t="s">
        <v>473</v>
      </c>
      <c r="B127" s="41" t="s">
        <v>868</v>
      </c>
      <c r="C127" s="41" t="s">
        <v>869</v>
      </c>
      <c r="D127" s="41" t="s">
        <v>870</v>
      </c>
      <c r="N127" s="190"/>
    </row>
    <row r="128" spans="1:14" ht="35.1" customHeight="1">
      <c r="A128" s="189" t="s">
        <v>474</v>
      </c>
      <c r="B128" s="41" t="str">
        <f>CONCATENATE(B124," is Mandatory field.")</f>
        <v>Payment Registration Number is Mandatory field.</v>
      </c>
      <c r="C128" s="41" t="str">
        <f>CONCATENATE(C124," is Mandatory field.")</f>
        <v>Date of Deposit is Mandatory field.</v>
      </c>
      <c r="D128" s="41" t="str">
        <f>CONCATENATE(D124," is Mandatory field.")</f>
        <v>Amount of VAT Paid  is Mandatory field.</v>
      </c>
      <c r="N128" s="190"/>
    </row>
    <row r="129" spans="1:14" ht="35.1" customHeight="1">
      <c r="A129" s="189" t="s">
        <v>475</v>
      </c>
      <c r="B129" s="41" t="s">
        <v>871</v>
      </c>
      <c r="C129" s="41" t="s">
        <v>872</v>
      </c>
      <c r="D129" s="41" t="s">
        <v>873</v>
      </c>
      <c r="N129" s="190"/>
    </row>
    <row r="130" spans="1:14" ht="35.1" customHeight="1">
      <c r="A130" s="189" t="s">
        <v>474</v>
      </c>
      <c r="B130" s="41" t="str">
        <f>CONCATENATE("Please enter numeric value.Only Special characters like (-) is allowed.")</f>
        <v>Please enter numeric value.Only Special characters like (-) is allowed.</v>
      </c>
      <c r="C130" s="41" t="str">
        <f>CONCATENATE("Please Enter Data upto ",C126," Length only.")</f>
        <v>Please Enter Data upto 10 Length only.</v>
      </c>
      <c r="D130" s="41" t="str">
        <f>CONCATENATE("Please Enter Numeric Data Only.")</f>
        <v>Please Enter Numeric Data Only.</v>
      </c>
      <c r="N130" s="190"/>
    </row>
    <row r="131" spans="1:14" ht="35.1" customHeight="1">
      <c r="A131" s="189" t="s">
        <v>476</v>
      </c>
      <c r="C131" s="41" t="s">
        <v>876</v>
      </c>
      <c r="D131" s="41" t="s">
        <v>874</v>
      </c>
      <c r="N131" s="190"/>
    </row>
    <row r="132" spans="1:14" ht="35.1" customHeight="1">
      <c r="A132" s="189" t="s">
        <v>474</v>
      </c>
      <c r="B132" s="41" t="str">
        <f>CONCATENATE("Please Enter Data upto ",B126," Length only.")</f>
        <v>Please Enter Data upto 20 Length only.</v>
      </c>
      <c r="C132" s="41" t="s">
        <v>617</v>
      </c>
      <c r="D132" s="41" t="str">
        <f>CONCATENATE("Please Enter Data upto ",D126," Length only.")</f>
        <v>Please Enter Data upto 15 Length only.</v>
      </c>
      <c r="N132" s="190"/>
    </row>
    <row r="133" spans="1:14" ht="35.1" customHeight="1">
      <c r="A133" s="189" t="s">
        <v>619</v>
      </c>
      <c r="B133" s="41" t="s">
        <v>875</v>
      </c>
      <c r="D133" s="41" t="s">
        <v>877</v>
      </c>
      <c r="N133" s="190"/>
    </row>
    <row r="134" spans="1:14" ht="35.1" customHeight="1">
      <c r="A134" s="189" t="s">
        <v>474</v>
      </c>
      <c r="B134" s="41" t="s">
        <v>853</v>
      </c>
      <c r="D134" s="41" t="s">
        <v>867</v>
      </c>
      <c r="N134" s="190"/>
    </row>
    <row r="135" spans="1:14" ht="35.1" customHeight="1">
      <c r="A135" s="189"/>
      <c r="N135" s="190"/>
    </row>
    <row r="136" spans="1:14" ht="35.1" customHeight="1">
      <c r="A136" s="194" t="s">
        <v>559</v>
      </c>
      <c r="B136" s="42" t="s">
        <v>1094</v>
      </c>
      <c r="C136" s="42" t="s">
        <v>1039</v>
      </c>
      <c r="D136" s="42" t="s">
        <v>1040</v>
      </c>
      <c r="N136" s="190" t="s">
        <v>1087</v>
      </c>
    </row>
    <row r="137" spans="1:14" ht="35.1" customHeight="1">
      <c r="A137" s="189" t="s">
        <v>472</v>
      </c>
      <c r="B137" s="41" t="s">
        <v>63</v>
      </c>
      <c r="C137" s="41" t="s">
        <v>63</v>
      </c>
      <c r="D137" s="41" t="s">
        <v>63</v>
      </c>
      <c r="N137" s="190"/>
    </row>
    <row r="138" spans="1:14" ht="35.1" customHeight="1">
      <c r="A138" s="189" t="s">
        <v>471</v>
      </c>
      <c r="B138" s="41">
        <v>20</v>
      </c>
      <c r="C138" s="41">
        <v>10</v>
      </c>
      <c r="D138" s="41">
        <v>15</v>
      </c>
      <c r="N138" s="190"/>
    </row>
    <row r="139" spans="1:14" ht="35.1" customHeight="1">
      <c r="A139" s="189" t="s">
        <v>473</v>
      </c>
      <c r="B139" s="41" t="s">
        <v>1095</v>
      </c>
      <c r="C139" s="41" t="s">
        <v>1096</v>
      </c>
      <c r="D139" s="41" t="s">
        <v>1097</v>
      </c>
      <c r="N139" s="190"/>
    </row>
    <row r="140" spans="1:14" ht="35.1" customHeight="1">
      <c r="A140" s="189" t="s">
        <v>474</v>
      </c>
      <c r="B140" s="41" t="s">
        <v>1098</v>
      </c>
      <c r="C140" s="41" t="s">
        <v>1099</v>
      </c>
      <c r="D140" s="41" t="s">
        <v>1100</v>
      </c>
      <c r="N140" s="190"/>
    </row>
    <row r="141" spans="1:14" ht="35.1" customHeight="1">
      <c r="A141" s="189" t="s">
        <v>475</v>
      </c>
      <c r="B141" s="41" t="s">
        <v>1101</v>
      </c>
      <c r="C141" s="41" t="s">
        <v>1103</v>
      </c>
      <c r="D141" s="41" t="s">
        <v>1104</v>
      </c>
      <c r="N141" s="190"/>
    </row>
    <row r="142" spans="1:14" ht="35.1" customHeight="1">
      <c r="A142" s="189" t="s">
        <v>474</v>
      </c>
      <c r="B142" s="41" t="s">
        <v>1089</v>
      </c>
      <c r="C142" s="41" t="s">
        <v>1090</v>
      </c>
      <c r="D142" s="41" t="s">
        <v>1091</v>
      </c>
      <c r="N142" s="190"/>
    </row>
    <row r="143" spans="1:14" ht="35.1" customHeight="1">
      <c r="A143" s="189" t="s">
        <v>476</v>
      </c>
      <c r="C143" s="41" t="s">
        <v>1105</v>
      </c>
      <c r="D143" s="41" t="s">
        <v>1106</v>
      </c>
      <c r="N143" s="190"/>
    </row>
    <row r="144" spans="1:14" ht="35.1" customHeight="1">
      <c r="A144" s="189" t="s">
        <v>474</v>
      </c>
      <c r="B144" s="41" t="s">
        <v>1092</v>
      </c>
      <c r="C144" s="41" t="s">
        <v>1109</v>
      </c>
      <c r="D144" s="41" t="s">
        <v>1093</v>
      </c>
      <c r="N144" s="190"/>
    </row>
    <row r="145" spans="1:18" ht="35.1" customHeight="1">
      <c r="A145" s="189" t="s">
        <v>619</v>
      </c>
      <c r="B145" s="41" t="s">
        <v>1102</v>
      </c>
      <c r="D145" s="41" t="s">
        <v>1107</v>
      </c>
      <c r="N145" s="190"/>
    </row>
    <row r="146" spans="1:18" ht="35.1" customHeight="1">
      <c r="A146" s="191" t="s">
        <v>474</v>
      </c>
      <c r="B146" s="192" t="s">
        <v>1108</v>
      </c>
      <c r="C146" s="192"/>
      <c r="D146" s="192" t="s">
        <v>867</v>
      </c>
      <c r="E146" s="192"/>
      <c r="F146" s="192"/>
      <c r="G146" s="192"/>
      <c r="H146" s="192"/>
      <c r="I146" s="192"/>
      <c r="J146" s="192"/>
      <c r="K146" s="192"/>
      <c r="L146" s="192"/>
      <c r="N146" s="193"/>
    </row>
    <row r="148" spans="1:18" ht="35.1" customHeight="1">
      <c r="A148" s="242"/>
      <c r="B148" s="243"/>
      <c r="C148" s="243"/>
      <c r="D148" s="243"/>
      <c r="E148" s="243"/>
      <c r="F148" s="243"/>
      <c r="G148" s="242"/>
      <c r="H148" s="242"/>
      <c r="I148" s="242"/>
      <c r="J148" s="242"/>
      <c r="K148" s="242"/>
      <c r="L148" s="242"/>
      <c r="N148" s="242"/>
      <c r="O148" s="242"/>
      <c r="P148" s="242"/>
      <c r="Q148" s="242"/>
    </row>
    <row r="149" spans="1:18" ht="35.1" customHeight="1">
      <c r="A149" s="242"/>
      <c r="B149" s="243"/>
      <c r="C149" s="243"/>
      <c r="D149" s="243"/>
      <c r="E149" s="243"/>
      <c r="F149" s="243"/>
      <c r="G149" s="242"/>
      <c r="H149" s="242"/>
      <c r="I149" s="242"/>
      <c r="J149" s="242"/>
      <c r="K149" s="242"/>
      <c r="L149" s="242"/>
      <c r="N149" s="242"/>
      <c r="O149" s="242"/>
      <c r="P149" s="242"/>
      <c r="Q149" s="242"/>
    </row>
    <row r="150" spans="1:18" ht="35.1" customHeight="1">
      <c r="A150" s="244"/>
      <c r="B150" s="244"/>
      <c r="C150" s="244"/>
      <c r="D150" s="244"/>
      <c r="E150" s="244"/>
      <c r="F150" s="244"/>
      <c r="G150" s="244"/>
      <c r="H150" s="244"/>
      <c r="I150" s="244"/>
      <c r="J150" s="244"/>
      <c r="K150" s="244"/>
      <c r="L150" s="244"/>
      <c r="N150" s="244"/>
      <c r="O150" s="244"/>
      <c r="P150" s="244"/>
      <c r="Q150" s="244"/>
      <c r="R150" s="244"/>
    </row>
    <row r="151" spans="1:18" ht="35.1" customHeight="1">
      <c r="A151" s="244"/>
      <c r="B151" s="244"/>
      <c r="C151" s="244"/>
      <c r="D151" s="244"/>
      <c r="E151" s="244"/>
      <c r="F151" s="244"/>
      <c r="G151" s="244"/>
      <c r="H151" s="244"/>
      <c r="I151" s="244"/>
      <c r="J151" s="244"/>
      <c r="K151" s="244"/>
      <c r="L151" s="244"/>
      <c r="N151" s="244"/>
      <c r="O151" s="244"/>
      <c r="P151" s="244"/>
      <c r="Q151" s="244"/>
      <c r="R151" s="244"/>
    </row>
    <row r="152" spans="1:18" ht="35.1" customHeight="1">
      <c r="A152" s="244"/>
      <c r="B152" s="244"/>
      <c r="C152" s="244"/>
      <c r="D152" s="244"/>
      <c r="E152" s="244"/>
      <c r="F152" s="244"/>
      <c r="G152" s="244"/>
      <c r="H152" s="245"/>
      <c r="I152" s="245"/>
      <c r="J152" s="245"/>
      <c r="K152" s="245"/>
      <c r="L152" s="245"/>
      <c r="N152" s="245"/>
      <c r="O152" s="245"/>
      <c r="P152" s="245"/>
      <c r="Q152" s="245"/>
      <c r="R152" s="245"/>
    </row>
    <row r="153" spans="1:18" ht="35.1" customHeight="1">
      <c r="A153" s="244"/>
      <c r="B153" s="244"/>
      <c r="C153" s="244"/>
      <c r="D153" s="244"/>
      <c r="E153" s="244"/>
      <c r="F153" s="244"/>
      <c r="G153" s="244"/>
      <c r="H153" s="245"/>
      <c r="I153" s="245"/>
      <c r="J153" s="245"/>
      <c r="K153" s="245"/>
      <c r="L153" s="245"/>
      <c r="N153" s="245"/>
      <c r="O153" s="245"/>
      <c r="P153" s="245"/>
      <c r="Q153" s="245"/>
      <c r="R153" s="245"/>
    </row>
    <row r="154" spans="1:18" ht="35.1" customHeight="1">
      <c r="A154" s="244"/>
      <c r="B154" s="244"/>
      <c r="C154" s="244"/>
      <c r="D154" s="244"/>
      <c r="E154" s="244"/>
      <c r="F154" s="244"/>
      <c r="G154" s="244"/>
      <c r="H154" s="245"/>
      <c r="I154" s="245"/>
      <c r="J154" s="245"/>
      <c r="K154" s="245"/>
      <c r="L154" s="245"/>
      <c r="N154" s="245"/>
      <c r="O154" s="245"/>
      <c r="P154" s="245"/>
      <c r="Q154" s="245"/>
      <c r="R154" s="245"/>
    </row>
    <row r="155" spans="1:18" ht="35.1" customHeight="1">
      <c r="A155" s="244"/>
      <c r="B155" s="245"/>
      <c r="C155" s="245"/>
      <c r="D155" s="245"/>
      <c r="E155" s="245"/>
      <c r="F155" s="245"/>
      <c r="G155" s="245"/>
      <c r="H155" s="245"/>
      <c r="I155" s="245"/>
      <c r="J155" s="245"/>
      <c r="K155" s="245"/>
      <c r="L155" s="245"/>
      <c r="N155" s="245"/>
      <c r="O155" s="245"/>
      <c r="P155" s="245"/>
      <c r="Q155" s="245"/>
      <c r="R155" s="245"/>
    </row>
    <row r="156" spans="1:18" ht="35.1" customHeight="1">
      <c r="A156" s="244"/>
      <c r="B156" s="245"/>
      <c r="C156" s="245"/>
      <c r="D156" s="245"/>
      <c r="E156" s="245"/>
      <c r="F156" s="245"/>
      <c r="G156" s="245"/>
      <c r="H156" s="245"/>
      <c r="I156" s="245"/>
      <c r="J156" s="245"/>
      <c r="K156" s="245"/>
      <c r="L156" s="245"/>
      <c r="N156" s="245"/>
      <c r="O156" s="245"/>
      <c r="P156" s="245"/>
      <c r="Q156" s="245"/>
      <c r="R156" s="245"/>
    </row>
    <row r="157" spans="1:18" ht="35.1" customHeight="1">
      <c r="A157" s="244"/>
      <c r="B157" s="249"/>
      <c r="C157" s="245"/>
      <c r="D157" s="245"/>
      <c r="E157" s="245"/>
      <c r="F157" s="245"/>
      <c r="G157" s="245"/>
      <c r="H157" s="245"/>
      <c r="I157" s="245"/>
      <c r="J157" s="245"/>
      <c r="K157" s="245"/>
      <c r="L157" s="245"/>
      <c r="N157" s="245"/>
      <c r="O157" s="245"/>
      <c r="P157" s="245"/>
      <c r="Q157" s="245"/>
      <c r="R157" s="245"/>
    </row>
    <row r="158" spans="1:18" ht="35.1" customHeight="1">
      <c r="A158" s="244"/>
      <c r="B158" s="245"/>
      <c r="C158" s="245"/>
      <c r="D158" s="245"/>
      <c r="E158" s="245"/>
      <c r="F158" s="245"/>
      <c r="G158" s="245"/>
      <c r="H158" s="245"/>
      <c r="I158" s="245"/>
      <c r="J158" s="245"/>
      <c r="K158" s="245"/>
      <c r="L158" s="245"/>
      <c r="N158" s="245"/>
      <c r="O158" s="245"/>
      <c r="P158" s="245"/>
      <c r="Q158" s="245"/>
      <c r="R158" s="245"/>
    </row>
  </sheetData>
  <sheetProtection password="94AB" sheet="1" objects="1" scenarios="1" selectLockedCells="1"/>
  <pageMargins left="0.7" right="0.7" top="0.75" bottom="0.75" header="0.51180555555555551" footer="0.51180555555555551"/>
  <pageSetup firstPageNumber="0" orientation="portrait" horizontalDpi="300" verticalDpi="300" r:id="rId1"/>
  <headerFooter alignWithMargins="0"/>
</worksheet>
</file>

<file path=xl/worksheets/sheet6.xml><?xml version="1.0" encoding="utf-8"?>
<worksheet xmlns="http://schemas.openxmlformats.org/spreadsheetml/2006/main" xmlns:r="http://schemas.openxmlformats.org/officeDocument/2006/relationships">
  <sheetPr codeName="Sheet19"/>
  <dimension ref="A1:L716"/>
  <sheetViews>
    <sheetView topLeftCell="A196" zoomScaleNormal="100" workbookViewId="0">
      <selection activeCell="A203" sqref="A203:F209"/>
    </sheetView>
  </sheetViews>
  <sheetFormatPr defaultRowHeight="15"/>
  <cols>
    <col min="4" max="4" width="9.140625" customWidth="1"/>
  </cols>
  <sheetData>
    <row r="1" spans="1:10">
      <c r="A1" s="195" t="s">
        <v>1033</v>
      </c>
      <c r="B1" s="196"/>
      <c r="C1" s="196"/>
      <c r="D1" s="196"/>
      <c r="E1" s="196"/>
      <c r="F1" s="196"/>
      <c r="G1" s="196"/>
      <c r="H1" s="196"/>
      <c r="I1" s="196"/>
      <c r="J1" s="197"/>
    </row>
    <row r="2" spans="1:10">
      <c r="A2" s="156" t="s">
        <v>878</v>
      </c>
      <c r="B2" t="s">
        <v>879</v>
      </c>
      <c r="C2" t="s">
        <v>880</v>
      </c>
      <c r="D2" t="s">
        <v>881</v>
      </c>
      <c r="J2" s="166"/>
    </row>
    <row r="3" spans="1:10">
      <c r="A3" s="156" t="s">
        <v>882</v>
      </c>
      <c r="B3">
        <v>20</v>
      </c>
      <c r="C3" t="s">
        <v>883</v>
      </c>
      <c r="D3" t="s">
        <v>884</v>
      </c>
      <c r="J3" s="166"/>
    </row>
    <row r="4" spans="1:10">
      <c r="A4" s="156" t="s">
        <v>885</v>
      </c>
      <c r="B4">
        <v>24</v>
      </c>
      <c r="C4" t="s">
        <v>886</v>
      </c>
      <c r="D4" t="s">
        <v>887</v>
      </c>
      <c r="J4" s="166"/>
    </row>
    <row r="5" spans="1:10">
      <c r="A5" s="156" t="s">
        <v>888</v>
      </c>
      <c r="B5">
        <v>28</v>
      </c>
      <c r="C5" t="s">
        <v>889</v>
      </c>
      <c r="D5" t="s">
        <v>890</v>
      </c>
      <c r="J5" s="166"/>
    </row>
    <row r="6" spans="1:10">
      <c r="A6" s="156" t="s">
        <v>891</v>
      </c>
      <c r="B6">
        <v>32</v>
      </c>
      <c r="C6" t="s">
        <v>892</v>
      </c>
      <c r="D6" t="s">
        <v>893</v>
      </c>
      <c r="J6" s="166"/>
    </row>
    <row r="7" spans="1:10">
      <c r="A7" s="156" t="s">
        <v>894</v>
      </c>
      <c r="B7">
        <v>36</v>
      </c>
      <c r="C7" t="s">
        <v>895</v>
      </c>
      <c r="D7" t="s">
        <v>887</v>
      </c>
      <c r="J7" s="166"/>
    </row>
    <row r="8" spans="1:10">
      <c r="A8" s="156" t="s">
        <v>896</v>
      </c>
      <c r="B8">
        <v>40</v>
      </c>
      <c r="C8" t="s">
        <v>897</v>
      </c>
      <c r="D8" t="s">
        <v>890</v>
      </c>
      <c r="J8" s="166"/>
    </row>
    <row r="9" spans="1:10">
      <c r="A9" s="156" t="s">
        <v>898</v>
      </c>
      <c r="B9">
        <v>44</v>
      </c>
      <c r="C9" t="s">
        <v>899</v>
      </c>
      <c r="D9" t="s">
        <v>893</v>
      </c>
      <c r="J9" s="166"/>
    </row>
    <row r="10" spans="1:10">
      <c r="A10" s="156" t="s">
        <v>900</v>
      </c>
      <c r="B10">
        <v>48</v>
      </c>
      <c r="C10" t="s">
        <v>901</v>
      </c>
      <c r="D10" t="s">
        <v>890</v>
      </c>
      <c r="J10" s="166"/>
    </row>
    <row r="11" spans="1:10">
      <c r="A11" s="156" t="s">
        <v>949</v>
      </c>
      <c r="B11">
        <v>52</v>
      </c>
      <c r="C11" t="s">
        <v>1041</v>
      </c>
      <c r="D11" t="s">
        <v>1045</v>
      </c>
      <c r="J11" s="166"/>
    </row>
    <row r="12" spans="1:10">
      <c r="A12" s="156" t="s">
        <v>951</v>
      </c>
      <c r="B12">
        <v>56</v>
      </c>
      <c r="C12" t="s">
        <v>1060</v>
      </c>
      <c r="D12" t="s">
        <v>1063</v>
      </c>
      <c r="J12" s="166"/>
    </row>
    <row r="13" spans="1:10">
      <c r="A13" s="156" t="s">
        <v>1046</v>
      </c>
      <c r="B13">
        <v>60</v>
      </c>
      <c r="C13" t="s">
        <v>1047</v>
      </c>
      <c r="D13" t="s">
        <v>1051</v>
      </c>
      <c r="J13" s="166"/>
    </row>
    <row r="14" spans="1:10">
      <c r="A14" s="156" t="s">
        <v>1058</v>
      </c>
      <c r="B14">
        <v>64</v>
      </c>
      <c r="C14" t="s">
        <v>1061</v>
      </c>
      <c r="D14" t="s">
        <v>932</v>
      </c>
      <c r="J14" s="166"/>
    </row>
    <row r="15" spans="1:10">
      <c r="A15" s="156" t="s">
        <v>1059</v>
      </c>
      <c r="B15">
        <v>68</v>
      </c>
      <c r="C15" t="s">
        <v>1062</v>
      </c>
      <c r="D15" t="s">
        <v>893</v>
      </c>
      <c r="J15" s="166"/>
    </row>
    <row r="16" spans="1:10">
      <c r="A16" s="156"/>
      <c r="J16" s="166"/>
    </row>
    <row r="17" spans="1:10">
      <c r="A17" s="156"/>
      <c r="J17" s="166"/>
    </row>
    <row r="18" spans="1:10">
      <c r="A18" s="156"/>
      <c r="J18" s="166"/>
    </row>
    <row r="19" spans="1:10">
      <c r="A19" s="156" t="s">
        <v>902</v>
      </c>
      <c r="B19" t="s">
        <v>902</v>
      </c>
      <c r="J19" s="166"/>
    </row>
    <row r="20" spans="1:10">
      <c r="A20" s="156" t="s">
        <v>903</v>
      </c>
      <c r="B20" t="s">
        <v>904</v>
      </c>
      <c r="J20" s="166"/>
    </row>
    <row r="21" spans="1:10">
      <c r="A21" s="198" t="s">
        <v>1082</v>
      </c>
      <c r="J21" s="166"/>
    </row>
    <row r="22" spans="1:10">
      <c r="A22" s="156"/>
      <c r="J22" s="166"/>
    </row>
    <row r="23" spans="1:10">
      <c r="A23" s="156" t="s">
        <v>902</v>
      </c>
      <c r="B23" t="s">
        <v>905</v>
      </c>
      <c r="J23" s="166"/>
    </row>
    <row r="24" spans="1:10">
      <c r="A24" s="156" t="str">
        <f>"=Local"</f>
        <v>=Local</v>
      </c>
      <c r="B24" t="s">
        <v>906</v>
      </c>
      <c r="J24" s="166"/>
    </row>
    <row r="25" spans="1:10">
      <c r="A25" s="156" t="s">
        <v>907</v>
      </c>
      <c r="J25" s="166"/>
    </row>
    <row r="26" spans="1:10">
      <c r="A26" s="156"/>
      <c r="J26" s="166"/>
    </row>
    <row r="27" spans="1:10">
      <c r="A27" s="156" t="s">
        <v>902</v>
      </c>
      <c r="B27" t="s">
        <v>908</v>
      </c>
      <c r="J27" s="166"/>
    </row>
    <row r="28" spans="1:10">
      <c r="A28" s="156" t="str">
        <f>"=Local"</f>
        <v>=Local</v>
      </c>
      <c r="B28" t="s">
        <v>909</v>
      </c>
      <c r="J28" s="166"/>
    </row>
    <row r="29" spans="1:10">
      <c r="A29" s="156" t="s">
        <v>910</v>
      </c>
      <c r="J29" s="166"/>
    </row>
    <row r="30" spans="1:10">
      <c r="A30" s="156"/>
      <c r="J30" s="166"/>
    </row>
    <row r="31" spans="1:10">
      <c r="A31" s="156" t="s">
        <v>902</v>
      </c>
      <c r="B31" t="s">
        <v>911</v>
      </c>
      <c r="J31" s="166"/>
    </row>
    <row r="32" spans="1:10">
      <c r="A32" s="156" t="str">
        <f>"=Local"</f>
        <v>=Local</v>
      </c>
      <c r="B32" t="s">
        <v>909</v>
      </c>
      <c r="J32" s="166"/>
    </row>
    <row r="33" spans="1:10">
      <c r="A33" s="156" t="s">
        <v>912</v>
      </c>
      <c r="J33" s="166"/>
    </row>
    <row r="34" spans="1:10">
      <c r="A34" s="156"/>
      <c r="J34" s="166"/>
    </row>
    <row r="35" spans="1:10">
      <c r="A35" s="156" t="s">
        <v>902</v>
      </c>
      <c r="B35" t="s">
        <v>905</v>
      </c>
      <c r="J35" s="166"/>
    </row>
    <row r="36" spans="1:10">
      <c r="A36" s="156" t="str">
        <f>"=Exemption"</f>
        <v>=Exemption</v>
      </c>
      <c r="B36" t="s">
        <v>909</v>
      </c>
      <c r="J36" s="166"/>
    </row>
    <row r="37" spans="1:10">
      <c r="A37" s="156" t="s">
        <v>913</v>
      </c>
      <c r="J37" s="166"/>
    </row>
    <row r="38" spans="1:10">
      <c r="A38" s="156"/>
      <c r="J38" s="166"/>
    </row>
    <row r="39" spans="1:10">
      <c r="A39" s="156" t="s">
        <v>902</v>
      </c>
      <c r="B39" t="s">
        <v>908</v>
      </c>
      <c r="J39" s="166"/>
    </row>
    <row r="40" spans="1:10">
      <c r="A40" s="156" t="str">
        <f>"=Exemption"</f>
        <v>=Exemption</v>
      </c>
      <c r="B40" t="s">
        <v>906</v>
      </c>
      <c r="J40" s="166"/>
    </row>
    <row r="41" spans="1:10">
      <c r="A41" s="156" t="s">
        <v>914</v>
      </c>
      <c r="J41" s="166"/>
    </row>
    <row r="42" spans="1:10">
      <c r="A42" s="156"/>
      <c r="J42" s="166"/>
    </row>
    <row r="43" spans="1:10">
      <c r="A43" s="156" t="s">
        <v>902</v>
      </c>
      <c r="B43" t="s">
        <v>911</v>
      </c>
      <c r="J43" s="166"/>
    </row>
    <row r="44" spans="1:10">
      <c r="A44" s="156" t="str">
        <f>"=Exemption"</f>
        <v>=Exemption</v>
      </c>
      <c r="B44" t="s">
        <v>906</v>
      </c>
      <c r="J44" s="166"/>
    </row>
    <row r="45" spans="1:10">
      <c r="A45" s="156" t="s">
        <v>915</v>
      </c>
      <c r="J45" s="166"/>
    </row>
    <row r="46" spans="1:10">
      <c r="A46" s="156"/>
      <c r="J46" s="166"/>
    </row>
    <row r="47" spans="1:10">
      <c r="A47" s="156" t="s">
        <v>902</v>
      </c>
      <c r="B47" t="s">
        <v>908</v>
      </c>
      <c r="C47" t="s">
        <v>908</v>
      </c>
      <c r="D47" t="s">
        <v>908</v>
      </c>
      <c r="E47" t="s">
        <v>908</v>
      </c>
      <c r="F47" t="s">
        <v>908</v>
      </c>
      <c r="G47" t="s">
        <v>908</v>
      </c>
      <c r="H47" t="s">
        <v>908</v>
      </c>
      <c r="J47" s="166"/>
    </row>
    <row r="48" spans="1:10">
      <c r="A48" s="156" t="str">
        <f>"=Exemption"</f>
        <v>=Exemption</v>
      </c>
      <c r="B48" t="s">
        <v>916</v>
      </c>
      <c r="C48" t="s">
        <v>917</v>
      </c>
      <c r="D48" t="s">
        <v>918</v>
      </c>
      <c r="E48" t="s">
        <v>919</v>
      </c>
      <c r="F48" t="s">
        <v>920</v>
      </c>
      <c r="G48" t="s">
        <v>921</v>
      </c>
      <c r="H48" t="s">
        <v>922</v>
      </c>
      <c r="J48" s="166"/>
    </row>
    <row r="49" spans="1:10">
      <c r="A49" s="156" t="s">
        <v>923</v>
      </c>
      <c r="J49" s="166"/>
    </row>
    <row r="50" spans="1:10">
      <c r="A50" s="156"/>
      <c r="J50" s="166"/>
    </row>
    <row r="51" spans="1:10">
      <c r="A51" s="156" t="s">
        <v>470</v>
      </c>
      <c r="J51" s="166"/>
    </row>
    <row r="52" spans="1:10">
      <c r="A52" s="156" t="str">
        <f>"=???????????????????????????????????????????????????*"</f>
        <v>=???????????????????????????????????????????????????*</v>
      </c>
      <c r="J52" s="166"/>
    </row>
    <row r="53" spans="1:10">
      <c r="A53" s="198" t="s">
        <v>1042</v>
      </c>
      <c r="J53" s="166"/>
    </row>
    <row r="54" spans="1:10">
      <c r="A54" s="198"/>
      <c r="J54" s="166"/>
    </row>
    <row r="55" spans="1:10">
      <c r="A55" s="198" t="s">
        <v>924</v>
      </c>
      <c r="J55" s="166"/>
    </row>
    <row r="56" spans="1:10">
      <c r="A56" s="198" t="str">
        <f>"=?????????????????????*"</f>
        <v>=?????????????????????*</v>
      </c>
      <c r="J56" s="166"/>
    </row>
    <row r="57" spans="1:10">
      <c r="A57" s="198" t="s">
        <v>1049</v>
      </c>
      <c r="J57" s="166"/>
    </row>
    <row r="58" spans="1:10">
      <c r="A58" s="198"/>
      <c r="J58" s="166"/>
    </row>
    <row r="59" spans="1:10">
      <c r="A59" s="198" t="s">
        <v>926</v>
      </c>
      <c r="J59" s="166"/>
    </row>
    <row r="60" spans="1:10">
      <c r="A60" s="198" t="str">
        <f>"=?????????????????????????????????????????*"</f>
        <v>=?????????????????????????????????????????*</v>
      </c>
      <c r="J60" s="166"/>
    </row>
    <row r="61" spans="1:10">
      <c r="A61" s="198" t="s">
        <v>1216</v>
      </c>
      <c r="J61" s="166"/>
    </row>
    <row r="62" spans="1:10">
      <c r="A62" s="198"/>
      <c r="J62" s="166"/>
    </row>
    <row r="63" spans="1:10">
      <c r="A63" s="198" t="s">
        <v>927</v>
      </c>
      <c r="J63" s="166"/>
    </row>
    <row r="64" spans="1:10">
      <c r="A64" s="198" t="str">
        <f>"=?????????????????????????????????????????????????????????????????????????????????????????????????????????????????????????????????????????????????????????????????????????????????????????????????????????*"</f>
        <v>=?????????????????????????????????????????????????????????????????????????????????????????????????????????????????????????????????????????????????????????????????????????????????????????????????????????*</v>
      </c>
      <c r="J64" s="166"/>
    </row>
    <row r="65" spans="1:10">
      <c r="A65" s="198" t="s">
        <v>1057</v>
      </c>
      <c r="J65" s="166"/>
    </row>
    <row r="66" spans="1:10">
      <c r="A66" s="198"/>
      <c r="J66" s="166"/>
    </row>
    <row r="67" spans="1:10">
      <c r="A67" s="198" t="s">
        <v>911</v>
      </c>
      <c r="J67" s="166"/>
    </row>
    <row r="68" spans="1:10">
      <c r="A68" s="198" t="str">
        <f>"=?????????????????????*"</f>
        <v>=?????????????????????*</v>
      </c>
      <c r="J68" s="166"/>
    </row>
    <row r="69" spans="1:10">
      <c r="A69" s="198" t="s">
        <v>1056</v>
      </c>
      <c r="J69" s="166"/>
    </row>
    <row r="70" spans="1:10">
      <c r="A70" s="156"/>
      <c r="J70" s="166"/>
    </row>
    <row r="71" spans="1:10">
      <c r="A71" s="156" t="s">
        <v>902</v>
      </c>
      <c r="B71" t="s">
        <v>905</v>
      </c>
      <c r="C71" t="s">
        <v>470</v>
      </c>
      <c r="D71" t="s">
        <v>924</v>
      </c>
      <c r="E71" t="s">
        <v>925</v>
      </c>
      <c r="F71" t="s">
        <v>926</v>
      </c>
      <c r="G71" t="s">
        <v>927</v>
      </c>
      <c r="H71" t="s">
        <v>908</v>
      </c>
      <c r="I71" t="s">
        <v>911</v>
      </c>
      <c r="J71" s="166" t="s">
        <v>928</v>
      </c>
    </row>
    <row r="72" spans="1:10">
      <c r="A72" s="156"/>
      <c r="J72" s="166"/>
    </row>
    <row r="73" spans="1:10">
      <c r="A73" s="156"/>
      <c r="J73" s="166"/>
    </row>
    <row r="74" spans="1:10">
      <c r="A74" s="156"/>
      <c r="J74" s="166"/>
    </row>
    <row r="75" spans="1:10">
      <c r="A75" s="156"/>
      <c r="J75" s="166"/>
    </row>
    <row r="76" spans="1:10">
      <c r="A76" s="156"/>
      <c r="J76" s="166"/>
    </row>
    <row r="77" spans="1:10">
      <c r="A77" s="156"/>
      <c r="J77" s="166"/>
    </row>
    <row r="78" spans="1:10">
      <c r="A78" s="156"/>
      <c r="J78" s="166"/>
    </row>
    <row r="79" spans="1:10">
      <c r="A79" s="156"/>
      <c r="J79" s="166"/>
    </row>
    <row r="80" spans="1:10">
      <c r="A80" s="167"/>
      <c r="B80" s="158"/>
      <c r="C80" s="158"/>
      <c r="D80" s="158"/>
      <c r="E80" s="158"/>
      <c r="F80" s="158"/>
      <c r="G80" s="158"/>
      <c r="H80" s="158"/>
      <c r="I80" s="158"/>
      <c r="J80" s="168"/>
    </row>
    <row r="82" spans="1:10">
      <c r="A82" s="195" t="s">
        <v>929</v>
      </c>
      <c r="B82" s="196"/>
      <c r="C82" s="196"/>
      <c r="D82" s="196"/>
      <c r="E82" s="196"/>
      <c r="F82" s="196"/>
      <c r="G82" s="196"/>
      <c r="H82" s="196"/>
      <c r="I82" s="196"/>
      <c r="J82" s="197"/>
    </row>
    <row r="83" spans="1:10">
      <c r="A83" s="156" t="s">
        <v>878</v>
      </c>
      <c r="B83" t="s">
        <v>879</v>
      </c>
      <c r="C83" t="s">
        <v>880</v>
      </c>
      <c r="D83" t="s">
        <v>881</v>
      </c>
      <c r="J83" s="166"/>
    </row>
    <row r="84" spans="1:10">
      <c r="A84" s="156" t="s">
        <v>882</v>
      </c>
      <c r="B84">
        <v>100</v>
      </c>
      <c r="C84" t="s">
        <v>930</v>
      </c>
      <c r="D84" t="s">
        <v>890</v>
      </c>
      <c r="J84" s="166"/>
    </row>
    <row r="85" spans="1:10">
      <c r="A85" s="156" t="s">
        <v>885</v>
      </c>
      <c r="B85">
        <v>104</v>
      </c>
      <c r="C85" t="s">
        <v>931</v>
      </c>
      <c r="D85" t="s">
        <v>932</v>
      </c>
      <c r="J85" s="166"/>
    </row>
    <row r="86" spans="1:10">
      <c r="A86" s="156" t="s">
        <v>888</v>
      </c>
      <c r="B86">
        <v>108</v>
      </c>
      <c r="C86" t="s">
        <v>889</v>
      </c>
      <c r="D86" t="s">
        <v>893</v>
      </c>
      <c r="J86" s="166"/>
    </row>
    <row r="87" spans="1:10">
      <c r="A87" s="156" t="s">
        <v>891</v>
      </c>
      <c r="B87">
        <v>112</v>
      </c>
      <c r="C87" t="s">
        <v>892</v>
      </c>
      <c r="D87" t="s">
        <v>933</v>
      </c>
      <c r="J87" s="166"/>
    </row>
    <row r="88" spans="1:10">
      <c r="A88" s="156"/>
      <c r="J88" s="166"/>
    </row>
    <row r="89" spans="1:10">
      <c r="A89" s="156"/>
      <c r="J89" s="166"/>
    </row>
    <row r="90" spans="1:10">
      <c r="A90" s="156" t="s">
        <v>898</v>
      </c>
      <c r="B90">
        <v>124</v>
      </c>
      <c r="C90" t="s">
        <v>1043</v>
      </c>
      <c r="D90" t="s">
        <v>887</v>
      </c>
      <c r="J90" s="166"/>
    </row>
    <row r="91" spans="1:10">
      <c r="A91" s="156" t="s">
        <v>900</v>
      </c>
      <c r="B91">
        <v>128</v>
      </c>
      <c r="C91" t="s">
        <v>1055</v>
      </c>
      <c r="D91" t="s">
        <v>1045</v>
      </c>
      <c r="J91" s="166"/>
    </row>
    <row r="92" spans="1:10">
      <c r="A92" s="156" t="s">
        <v>949</v>
      </c>
      <c r="B92">
        <v>132</v>
      </c>
      <c r="C92" t="s">
        <v>1041</v>
      </c>
      <c r="D92" t="s">
        <v>1050</v>
      </c>
      <c r="J92" s="166"/>
    </row>
    <row r="93" spans="1:10">
      <c r="A93" s="156" t="s">
        <v>951</v>
      </c>
      <c r="B93">
        <v>136</v>
      </c>
      <c r="C93" t="s">
        <v>1060</v>
      </c>
      <c r="D93" t="s">
        <v>1051</v>
      </c>
      <c r="J93" s="166"/>
    </row>
    <row r="94" spans="1:10">
      <c r="A94" s="156" t="s">
        <v>1046</v>
      </c>
      <c r="B94">
        <v>140</v>
      </c>
      <c r="C94" t="s">
        <v>1047</v>
      </c>
      <c r="D94" t="s">
        <v>893</v>
      </c>
      <c r="J94" s="166"/>
    </row>
    <row r="95" spans="1:10">
      <c r="A95" s="156"/>
      <c r="J95" s="166"/>
    </row>
    <row r="96" spans="1:10">
      <c r="A96" s="156"/>
      <c r="J96" s="166"/>
    </row>
    <row r="97" spans="1:10">
      <c r="A97" s="156"/>
      <c r="J97" s="166"/>
    </row>
    <row r="98" spans="1:10">
      <c r="A98" s="156"/>
      <c r="J98" s="166"/>
    </row>
    <row r="99" spans="1:10">
      <c r="A99" s="156" t="s">
        <v>934</v>
      </c>
      <c r="J99" s="166"/>
    </row>
    <row r="100" spans="1:10">
      <c r="A100" s="156" t="s">
        <v>909</v>
      </c>
      <c r="J100" s="166"/>
    </row>
    <row r="101" spans="1:10">
      <c r="A101" s="198" t="s">
        <v>1083</v>
      </c>
      <c r="J101" s="166"/>
    </row>
    <row r="102" spans="1:10">
      <c r="A102" s="156"/>
      <c r="J102" s="166"/>
    </row>
    <row r="103" spans="1:10">
      <c r="A103" s="156" t="s">
        <v>935</v>
      </c>
      <c r="J103" s="166"/>
    </row>
    <row r="104" spans="1:10">
      <c r="A104" s="156" t="s">
        <v>906</v>
      </c>
      <c r="J104" s="166"/>
    </row>
    <row r="105" spans="1:10">
      <c r="A105" s="198" t="s">
        <v>1084</v>
      </c>
      <c r="J105" s="166"/>
    </row>
    <row r="106" spans="1:10">
      <c r="A106" s="156"/>
      <c r="J106" s="166"/>
    </row>
    <row r="107" spans="1:10">
      <c r="A107" s="156" t="s">
        <v>935</v>
      </c>
      <c r="B107" t="s">
        <v>936</v>
      </c>
      <c r="J107" s="166"/>
    </row>
    <row r="108" spans="1:10">
      <c r="A108" s="156" t="s">
        <v>937</v>
      </c>
      <c r="B108" t="s">
        <v>906</v>
      </c>
      <c r="J108" s="166"/>
    </row>
    <row r="109" spans="1:10">
      <c r="A109" s="156" t="s">
        <v>938</v>
      </c>
      <c r="J109" s="166"/>
    </row>
    <row r="110" spans="1:10">
      <c r="A110" s="156"/>
      <c r="J110" s="166"/>
    </row>
    <row r="111" spans="1:10">
      <c r="A111" s="156" t="s">
        <v>935</v>
      </c>
      <c r="B111" t="s">
        <v>939</v>
      </c>
      <c r="J111" s="166"/>
    </row>
    <row r="112" spans="1:10">
      <c r="A112" s="156" t="s">
        <v>937</v>
      </c>
      <c r="B112" t="s">
        <v>906</v>
      </c>
      <c r="J112" s="166"/>
    </row>
    <row r="113" spans="1:10">
      <c r="A113" s="156" t="s">
        <v>940</v>
      </c>
      <c r="J113" s="166"/>
    </row>
    <row r="114" spans="1:10">
      <c r="A114" s="156"/>
      <c r="J114" s="166"/>
    </row>
    <row r="115" spans="1:10">
      <c r="A115" s="156"/>
      <c r="J115" s="166"/>
    </row>
    <row r="116" spans="1:10">
      <c r="A116" s="156"/>
      <c r="J116" s="166"/>
    </row>
    <row r="117" spans="1:10">
      <c r="A117" s="156"/>
      <c r="J117" s="166"/>
    </row>
    <row r="118" spans="1:10">
      <c r="A118" s="156"/>
      <c r="J118" s="166"/>
    </row>
    <row r="119" spans="1:10">
      <c r="A119" s="156"/>
      <c r="J119" s="166"/>
    </row>
    <row r="120" spans="1:10">
      <c r="A120" s="156"/>
      <c r="J120" s="166"/>
    </row>
    <row r="121" spans="1:10">
      <c r="A121" s="156"/>
      <c r="J121" s="166"/>
    </row>
    <row r="122" spans="1:10">
      <c r="A122" s="156"/>
      <c r="J122" s="166"/>
    </row>
    <row r="123" spans="1:10">
      <c r="A123" s="156" t="s">
        <v>470</v>
      </c>
      <c r="J123" s="166"/>
    </row>
    <row r="124" spans="1:10">
      <c r="A124" s="156" t="str">
        <f>"=???????????????????????????????????????????????????*"</f>
        <v>=???????????????????????????????????????????????????*</v>
      </c>
      <c r="J124" s="166"/>
    </row>
    <row r="125" spans="1:10">
      <c r="A125" s="198" t="s">
        <v>1066</v>
      </c>
      <c r="J125" s="166"/>
    </row>
    <row r="126" spans="1:10">
      <c r="A126" s="198"/>
      <c r="J126" s="166"/>
    </row>
    <row r="127" spans="1:10">
      <c r="A127" s="198" t="s">
        <v>942</v>
      </c>
      <c r="J127" s="166"/>
    </row>
    <row r="128" spans="1:10">
      <c r="A128" s="198" t="str">
        <f>"=?????????????????????*"</f>
        <v>=?????????????????????*</v>
      </c>
      <c r="J128" s="166"/>
    </row>
    <row r="129" spans="1:10">
      <c r="A129" s="198" t="s">
        <v>1065</v>
      </c>
      <c r="J129" s="166"/>
    </row>
    <row r="130" spans="1:10">
      <c r="A130" s="198"/>
      <c r="J130" s="166"/>
    </row>
    <row r="131" spans="1:10">
      <c r="A131" s="198" t="s">
        <v>944</v>
      </c>
      <c r="J131" s="166"/>
    </row>
    <row r="132" spans="1:10">
      <c r="A132" s="198" t="str">
        <f>"=?????????????????????????????????????????*"</f>
        <v>=?????????????????????????????????????????*</v>
      </c>
      <c r="J132" s="166"/>
    </row>
    <row r="133" spans="1:10">
      <c r="A133" s="198" t="s">
        <v>1217</v>
      </c>
      <c r="J133" s="166"/>
    </row>
    <row r="134" spans="1:10">
      <c r="A134" s="198"/>
      <c r="J134" s="166"/>
    </row>
    <row r="135" spans="1:10">
      <c r="A135" s="198" t="s">
        <v>927</v>
      </c>
      <c r="J135" s="166"/>
    </row>
    <row r="136" spans="1:10">
      <c r="A136" s="198" t="str">
        <f>"=?????????????????????????????????????????????????????????????????????????????????????????????????????????????????????????????????????????????????????????????????????????????????????????????????????????*"</f>
        <v>=?????????????????????????????????????????????????????????????????????????????????????????????????????????????????????????????????????????????????????????????????????????????????????????????????????????*</v>
      </c>
      <c r="J136" s="166"/>
    </row>
    <row r="137" spans="1:10">
      <c r="A137" s="198" t="s">
        <v>1064</v>
      </c>
      <c r="J137" s="166"/>
    </row>
    <row r="138" spans="1:10">
      <c r="A138" s="198"/>
      <c r="J138" s="166"/>
    </row>
    <row r="139" spans="1:10">
      <c r="A139" s="198" t="s">
        <v>936</v>
      </c>
      <c r="J139" s="166"/>
    </row>
    <row r="140" spans="1:10">
      <c r="A140" s="198" t="str">
        <f>"=?????????????????????????????????????????*"</f>
        <v>=?????????????????????????????????????????*</v>
      </c>
      <c r="J140" s="166"/>
    </row>
    <row r="141" spans="1:10">
      <c r="A141" s="198" t="s">
        <v>1218</v>
      </c>
      <c r="J141" s="166"/>
    </row>
    <row r="142" spans="1:10">
      <c r="A142" s="156"/>
      <c r="J142" s="166"/>
    </row>
    <row r="143" spans="1:10">
      <c r="A143" s="156" t="s">
        <v>941</v>
      </c>
      <c r="B143" t="s">
        <v>470</v>
      </c>
      <c r="C143" t="s">
        <v>942</v>
      </c>
      <c r="D143" t="s">
        <v>943</v>
      </c>
      <c r="E143" t="s">
        <v>944</v>
      </c>
      <c r="F143" t="s">
        <v>945</v>
      </c>
      <c r="G143" t="s">
        <v>935</v>
      </c>
      <c r="H143" t="s">
        <v>934</v>
      </c>
      <c r="I143" t="s">
        <v>936</v>
      </c>
      <c r="J143" s="166" t="s">
        <v>939</v>
      </c>
    </row>
    <row r="144" spans="1:10">
      <c r="A144" s="156"/>
      <c r="J144" s="166"/>
    </row>
    <row r="145" spans="1:11">
      <c r="A145" s="156"/>
      <c r="J145" s="166"/>
    </row>
    <row r="146" spans="1:11">
      <c r="A146" s="156"/>
      <c r="J146" s="166"/>
    </row>
    <row r="147" spans="1:11">
      <c r="A147" s="156"/>
      <c r="J147" s="166"/>
    </row>
    <row r="148" spans="1:11">
      <c r="A148" s="167"/>
      <c r="B148" s="158"/>
      <c r="C148" s="158"/>
      <c r="D148" s="158"/>
      <c r="E148" s="158"/>
      <c r="F148" s="158"/>
      <c r="G148" s="158"/>
      <c r="H148" s="158"/>
      <c r="I148" s="158"/>
      <c r="J148" s="168"/>
    </row>
    <row r="150" spans="1:11">
      <c r="A150" s="195" t="s">
        <v>946</v>
      </c>
      <c r="B150" s="196"/>
      <c r="C150" s="196"/>
      <c r="D150" s="196"/>
      <c r="E150" s="196"/>
      <c r="F150" s="196"/>
      <c r="G150" s="196"/>
      <c r="H150" s="196"/>
      <c r="I150" s="196"/>
      <c r="J150" s="196"/>
      <c r="K150" s="197"/>
    </row>
    <row r="151" spans="1:11">
      <c r="A151" s="156" t="s">
        <v>878</v>
      </c>
      <c r="B151" t="s">
        <v>879</v>
      </c>
      <c r="C151" t="s">
        <v>880</v>
      </c>
      <c r="D151" t="s">
        <v>881</v>
      </c>
      <c r="K151" s="166"/>
    </row>
    <row r="152" spans="1:11">
      <c r="A152" s="156" t="s">
        <v>882</v>
      </c>
      <c r="B152">
        <v>172</v>
      </c>
      <c r="C152" t="s">
        <v>1250</v>
      </c>
      <c r="D152" t="s">
        <v>884</v>
      </c>
      <c r="K152" s="166"/>
    </row>
    <row r="153" spans="1:11">
      <c r="A153" s="156" t="s">
        <v>885</v>
      </c>
      <c r="B153">
        <v>176</v>
      </c>
      <c r="C153" t="s">
        <v>886</v>
      </c>
      <c r="D153" t="s">
        <v>887</v>
      </c>
      <c r="K153" s="166"/>
    </row>
    <row r="154" spans="1:11">
      <c r="A154" s="156" t="s">
        <v>888</v>
      </c>
      <c r="B154">
        <v>180</v>
      </c>
      <c r="C154" t="s">
        <v>889</v>
      </c>
      <c r="D154" t="s">
        <v>932</v>
      </c>
      <c r="K154" s="166"/>
    </row>
    <row r="155" spans="1:11">
      <c r="A155" s="156" t="s">
        <v>891</v>
      </c>
      <c r="B155">
        <v>184</v>
      </c>
      <c r="C155" t="s">
        <v>892</v>
      </c>
      <c r="D155" t="s">
        <v>887</v>
      </c>
      <c r="K155" s="166"/>
    </row>
    <row r="156" spans="1:11">
      <c r="A156" s="156" t="s">
        <v>894</v>
      </c>
      <c r="B156">
        <v>188</v>
      </c>
      <c r="C156" t="s">
        <v>895</v>
      </c>
      <c r="D156" t="s">
        <v>932</v>
      </c>
      <c r="K156" s="166"/>
    </row>
    <row r="157" spans="1:11">
      <c r="A157" s="156" t="s">
        <v>896</v>
      </c>
      <c r="B157">
        <v>192</v>
      </c>
      <c r="C157" t="s">
        <v>947</v>
      </c>
      <c r="D157" t="s">
        <v>893</v>
      </c>
      <c r="K157" s="166"/>
    </row>
    <row r="158" spans="1:11">
      <c r="A158" s="156" t="s">
        <v>898</v>
      </c>
      <c r="B158">
        <v>196</v>
      </c>
      <c r="C158" t="s">
        <v>899</v>
      </c>
      <c r="D158" t="s">
        <v>933</v>
      </c>
      <c r="K158" s="166"/>
    </row>
    <row r="159" spans="1:11">
      <c r="A159" s="156" t="s">
        <v>900</v>
      </c>
      <c r="B159">
        <v>200</v>
      </c>
      <c r="C159" t="s">
        <v>901</v>
      </c>
      <c r="D159" t="s">
        <v>948</v>
      </c>
      <c r="K159" s="166"/>
    </row>
    <row r="160" spans="1:11">
      <c r="A160" s="156"/>
      <c r="K160" s="166"/>
    </row>
    <row r="161" spans="1:11">
      <c r="A161" s="156"/>
      <c r="K161" s="166"/>
    </row>
    <row r="162" spans="1:11">
      <c r="A162" s="156" t="s">
        <v>1046</v>
      </c>
      <c r="B162">
        <v>212</v>
      </c>
      <c r="C162" t="s">
        <v>1047</v>
      </c>
      <c r="D162" t="s">
        <v>1045</v>
      </c>
      <c r="K162" s="166"/>
    </row>
    <row r="163" spans="1:11">
      <c r="A163" s="156" t="s">
        <v>1058</v>
      </c>
      <c r="B163">
        <v>216</v>
      </c>
      <c r="C163" t="s">
        <v>1061</v>
      </c>
      <c r="D163" t="s">
        <v>1050</v>
      </c>
      <c r="K163" s="166"/>
    </row>
    <row r="164" spans="1:11">
      <c r="A164" s="156" t="s">
        <v>1059</v>
      </c>
      <c r="B164">
        <v>220</v>
      </c>
      <c r="C164" t="s">
        <v>1062</v>
      </c>
      <c r="D164" t="s">
        <v>1051</v>
      </c>
      <c r="K164" s="166"/>
    </row>
    <row r="165" spans="1:11">
      <c r="A165" s="156" t="s">
        <v>1068</v>
      </c>
      <c r="B165">
        <v>224</v>
      </c>
      <c r="C165" t="s">
        <v>1070</v>
      </c>
      <c r="D165" t="s">
        <v>932</v>
      </c>
      <c r="K165" s="166"/>
    </row>
    <row r="166" spans="1:11">
      <c r="A166" s="156" t="s">
        <v>1069</v>
      </c>
      <c r="B166">
        <v>228</v>
      </c>
      <c r="C166" t="s">
        <v>1071</v>
      </c>
      <c r="D166" t="s">
        <v>933</v>
      </c>
      <c r="K166" s="166"/>
    </row>
    <row r="167" spans="1:11">
      <c r="A167" s="156"/>
      <c r="K167" s="166"/>
    </row>
    <row r="168" spans="1:11">
      <c r="A168" s="156"/>
      <c r="K168" s="166"/>
    </row>
    <row r="169" spans="1:11">
      <c r="A169" s="156"/>
      <c r="K169" s="166"/>
    </row>
    <row r="170" spans="1:11">
      <c r="A170" s="156"/>
      <c r="K170" s="166"/>
    </row>
    <row r="171" spans="1:11">
      <c r="A171" s="156" t="s">
        <v>902</v>
      </c>
      <c r="B171" t="s">
        <v>902</v>
      </c>
      <c r="C171" t="s">
        <v>902</v>
      </c>
      <c r="K171" s="166"/>
    </row>
    <row r="172" spans="1:11">
      <c r="A172" s="156" t="s">
        <v>903</v>
      </c>
      <c r="B172" t="s">
        <v>953</v>
      </c>
      <c r="C172" t="s">
        <v>1249</v>
      </c>
      <c r="K172" s="166"/>
    </row>
    <row r="173" spans="1:11">
      <c r="A173" s="198" t="s">
        <v>1251</v>
      </c>
      <c r="K173" s="166"/>
    </row>
    <row r="174" spans="1:11">
      <c r="A174" s="156"/>
      <c r="K174" s="166"/>
    </row>
    <row r="175" spans="1:11">
      <c r="A175" s="156" t="s">
        <v>902</v>
      </c>
      <c r="B175" t="s">
        <v>905</v>
      </c>
      <c r="K175" s="166"/>
    </row>
    <row r="176" spans="1:11">
      <c r="A176" s="156" t="str">
        <f>"=Local"</f>
        <v>=Local</v>
      </c>
      <c r="B176" t="s">
        <v>906</v>
      </c>
      <c r="K176" s="166"/>
    </row>
    <row r="177" spans="1:11">
      <c r="A177" s="156" t="s">
        <v>954</v>
      </c>
      <c r="K177" s="166"/>
    </row>
    <row r="178" spans="1:11">
      <c r="A178" s="156"/>
      <c r="K178" s="166"/>
    </row>
    <row r="179" spans="1:11">
      <c r="A179" s="156" t="s">
        <v>902</v>
      </c>
      <c r="B179" t="s">
        <v>955</v>
      </c>
      <c r="K179" s="166"/>
    </row>
    <row r="180" spans="1:11">
      <c r="A180" s="156" t="str">
        <f>"=Local"</f>
        <v>=Local</v>
      </c>
      <c r="B180" t="s">
        <v>909</v>
      </c>
      <c r="K180" s="166"/>
    </row>
    <row r="181" spans="1:11">
      <c r="A181" s="156" t="s">
        <v>956</v>
      </c>
      <c r="K181" s="166"/>
    </row>
    <row r="182" spans="1:11">
      <c r="A182" s="156"/>
      <c r="K182" s="166"/>
    </row>
    <row r="183" spans="1:11">
      <c r="A183" s="156" t="s">
        <v>902</v>
      </c>
      <c r="B183" t="s">
        <v>905</v>
      </c>
      <c r="K183" s="166"/>
    </row>
    <row r="184" spans="1:11">
      <c r="A184" s="156" t="str">
        <f>"=Import"</f>
        <v>=Import</v>
      </c>
      <c r="B184" t="s">
        <v>909</v>
      </c>
      <c r="K184" s="166"/>
    </row>
    <row r="185" spans="1:11">
      <c r="A185" s="156" t="s">
        <v>957</v>
      </c>
      <c r="K185" s="166"/>
    </row>
    <row r="186" spans="1:11">
      <c r="A186" s="156"/>
      <c r="K186" s="166"/>
    </row>
    <row r="187" spans="1:11">
      <c r="A187" s="156" t="s">
        <v>902</v>
      </c>
      <c r="B187" t="s">
        <v>955</v>
      </c>
      <c r="K187" s="166"/>
    </row>
    <row r="188" spans="1:11">
      <c r="A188" s="156" t="str">
        <f>"=Import"</f>
        <v>=Import</v>
      </c>
      <c r="B188" t="s">
        <v>906</v>
      </c>
      <c r="K188" s="166"/>
    </row>
    <row r="189" spans="1:11">
      <c r="A189" s="156" t="s">
        <v>958</v>
      </c>
      <c r="K189" s="166"/>
    </row>
    <row r="190" spans="1:11">
      <c r="A190" s="156"/>
      <c r="K190" s="166"/>
    </row>
    <row r="191" spans="1:11">
      <c r="A191" s="156" t="s">
        <v>934</v>
      </c>
      <c r="K191" s="166"/>
    </row>
    <row r="192" spans="1:11">
      <c r="A192" s="156" t="s">
        <v>909</v>
      </c>
      <c r="K192" s="166"/>
    </row>
    <row r="193" spans="1:11">
      <c r="A193" s="198" t="s">
        <v>1083</v>
      </c>
      <c r="K193" s="166"/>
    </row>
    <row r="194" spans="1:11">
      <c r="A194" s="156"/>
      <c r="K194" s="166"/>
    </row>
    <row r="195" spans="1:11">
      <c r="A195" s="156" t="s">
        <v>959</v>
      </c>
      <c r="B195" t="s">
        <v>936</v>
      </c>
      <c r="K195" s="166"/>
    </row>
    <row r="196" spans="1:11">
      <c r="A196" s="156" t="s">
        <v>937</v>
      </c>
      <c r="B196" t="s">
        <v>906</v>
      </c>
      <c r="K196" s="166"/>
    </row>
    <row r="197" spans="1:11">
      <c r="A197" s="156" t="s">
        <v>938</v>
      </c>
      <c r="K197" s="166"/>
    </row>
    <row r="198" spans="1:11">
      <c r="A198" s="156"/>
      <c r="K198" s="166"/>
    </row>
    <row r="199" spans="1:11">
      <c r="A199" s="156" t="s">
        <v>959</v>
      </c>
      <c r="B199" t="s">
        <v>939</v>
      </c>
      <c r="K199" s="166"/>
    </row>
    <row r="200" spans="1:11">
      <c r="A200" s="156" t="s">
        <v>937</v>
      </c>
      <c r="B200" t="s">
        <v>906</v>
      </c>
      <c r="K200" s="166"/>
    </row>
    <row r="201" spans="1:11">
      <c r="A201" s="156" t="s">
        <v>940</v>
      </c>
      <c r="K201" s="166"/>
    </row>
    <row r="202" spans="1:11">
      <c r="A202" s="156"/>
      <c r="K202" s="166"/>
    </row>
    <row r="203" spans="1:11">
      <c r="A203" s="156"/>
      <c r="K203" s="166"/>
    </row>
    <row r="204" spans="1:11">
      <c r="A204" s="156"/>
      <c r="K204" s="166"/>
    </row>
    <row r="205" spans="1:11">
      <c r="A205" s="156"/>
      <c r="K205" s="166"/>
    </row>
    <row r="206" spans="1:11">
      <c r="A206" s="156"/>
      <c r="K206" s="166"/>
    </row>
    <row r="207" spans="1:11">
      <c r="A207" s="156"/>
      <c r="K207" s="166"/>
    </row>
    <row r="208" spans="1:11">
      <c r="A208" s="156"/>
      <c r="K208" s="166"/>
    </row>
    <row r="209" spans="1:11">
      <c r="A209" s="156"/>
      <c r="K209" s="166"/>
    </row>
    <row r="210" spans="1:11">
      <c r="A210" s="156"/>
      <c r="K210" s="166"/>
    </row>
    <row r="211" spans="1:11">
      <c r="A211" s="156" t="s">
        <v>470</v>
      </c>
      <c r="K211" s="166"/>
    </row>
    <row r="212" spans="1:11">
      <c r="A212" s="156" t="str">
        <f>"=???????????????????????????????????????????????????*"</f>
        <v>=???????????????????????????????????????????????????*</v>
      </c>
      <c r="K212" s="166"/>
    </row>
    <row r="213" spans="1:11">
      <c r="A213" s="198" t="s">
        <v>1048</v>
      </c>
      <c r="K213" s="166"/>
    </row>
    <row r="214" spans="1:11">
      <c r="A214" s="198"/>
      <c r="K214" s="166"/>
    </row>
    <row r="215" spans="1:11">
      <c r="A215" s="198" t="s">
        <v>944</v>
      </c>
      <c r="K215" s="166"/>
    </row>
    <row r="216" spans="1:11">
      <c r="A216" s="198" t="str">
        <f>"=?????????????????????????????????????????*"</f>
        <v>=?????????????????????????????????????????*</v>
      </c>
      <c r="K216" s="166"/>
    </row>
    <row r="217" spans="1:11">
      <c r="A217" s="198" t="s">
        <v>1217</v>
      </c>
      <c r="K217" s="166"/>
    </row>
    <row r="218" spans="1:11">
      <c r="A218" s="198"/>
      <c r="K218" s="166"/>
    </row>
    <row r="219" spans="1:11">
      <c r="A219" s="198" t="s">
        <v>927</v>
      </c>
      <c r="K219" s="166"/>
    </row>
    <row r="220" spans="1:11">
      <c r="A220" s="198" t="str">
        <f>"=?????????????????????????????????????????????????????????????????????????????????????????????????????????????????????????????????????????????????????????????????????????????????????????????????????????*"</f>
        <v>=?????????????????????????????????????????????????????????????????????????????????????????????????????????????????????????????????????????????????????????????????????????????????????????????????????????*</v>
      </c>
      <c r="K220" s="166"/>
    </row>
    <row r="221" spans="1:11">
      <c r="A221" s="198" t="s">
        <v>1064</v>
      </c>
      <c r="K221" s="166"/>
    </row>
    <row r="222" spans="1:11">
      <c r="A222" s="198"/>
      <c r="K222" s="166"/>
    </row>
    <row r="223" spans="1:11">
      <c r="A223" s="198" t="s">
        <v>955</v>
      </c>
      <c r="K223" s="166"/>
    </row>
    <row r="224" spans="1:11">
      <c r="A224" s="198" t="str">
        <f>"=?????????????????????*"</f>
        <v>=?????????????????????*</v>
      </c>
      <c r="K224" s="166"/>
    </row>
    <row r="225" spans="1:11">
      <c r="A225" s="198" t="s">
        <v>1067</v>
      </c>
      <c r="K225" s="166"/>
    </row>
    <row r="226" spans="1:11">
      <c r="A226" s="198"/>
      <c r="K226" s="166"/>
    </row>
    <row r="227" spans="1:11">
      <c r="A227" s="198" t="s">
        <v>936</v>
      </c>
      <c r="K227" s="166"/>
    </row>
    <row r="228" spans="1:11">
      <c r="A228" s="198" t="str">
        <f>"=?????????????????????????????????????????*"</f>
        <v>=?????????????????????????????????????????*</v>
      </c>
      <c r="K228" s="166"/>
    </row>
    <row r="229" spans="1:11">
      <c r="A229" s="198" t="s">
        <v>1218</v>
      </c>
      <c r="K229" s="166"/>
    </row>
    <row r="230" spans="1:11">
      <c r="A230" s="156"/>
      <c r="K230" s="166"/>
    </row>
    <row r="231" spans="1:11">
      <c r="A231" s="156" t="s">
        <v>902</v>
      </c>
      <c r="B231" t="s">
        <v>941</v>
      </c>
      <c r="C231" t="s">
        <v>470</v>
      </c>
      <c r="D231" t="s">
        <v>943</v>
      </c>
      <c r="E231" t="s">
        <v>944</v>
      </c>
      <c r="F231" t="s">
        <v>927</v>
      </c>
      <c r="G231" t="s">
        <v>955</v>
      </c>
      <c r="H231" t="s">
        <v>959</v>
      </c>
      <c r="I231" t="s">
        <v>934</v>
      </c>
      <c r="J231" t="s">
        <v>936</v>
      </c>
      <c r="K231" s="166" t="s">
        <v>939</v>
      </c>
    </row>
    <row r="232" spans="1:11">
      <c r="A232" s="156"/>
      <c r="K232" s="166"/>
    </row>
    <row r="233" spans="1:11">
      <c r="A233" s="156"/>
      <c r="K233" s="166"/>
    </row>
    <row r="234" spans="1:11">
      <c r="A234" s="156"/>
      <c r="K234" s="166"/>
    </row>
    <row r="235" spans="1:11">
      <c r="A235" s="156"/>
      <c r="K235" s="166"/>
    </row>
    <row r="236" spans="1:11">
      <c r="A236" s="156"/>
      <c r="K236" s="166"/>
    </row>
    <row r="237" spans="1:11">
      <c r="A237" s="156"/>
      <c r="K237" s="166"/>
    </row>
    <row r="238" spans="1:11">
      <c r="A238" s="167"/>
      <c r="B238" s="158"/>
      <c r="C238" s="158"/>
      <c r="D238" s="158"/>
      <c r="E238" s="158"/>
      <c r="F238" s="158"/>
      <c r="G238" s="158"/>
      <c r="H238" s="158"/>
      <c r="I238" s="158"/>
      <c r="J238" s="158"/>
      <c r="K238" s="168"/>
    </row>
    <row r="240" spans="1:11">
      <c r="A240" s="195" t="s">
        <v>1179</v>
      </c>
      <c r="B240" s="196"/>
      <c r="C240" s="196"/>
      <c r="D240" s="196"/>
      <c r="E240" s="196"/>
      <c r="F240" s="196"/>
      <c r="G240" s="196"/>
      <c r="H240" s="197"/>
    </row>
    <row r="241" spans="1:8">
      <c r="A241" s="156" t="s">
        <v>878</v>
      </c>
      <c r="B241" t="s">
        <v>879</v>
      </c>
      <c r="C241" t="s">
        <v>880</v>
      </c>
      <c r="D241" t="s">
        <v>881</v>
      </c>
      <c r="H241" s="166"/>
    </row>
    <row r="242" spans="1:8">
      <c r="A242" s="156" t="s">
        <v>882</v>
      </c>
      <c r="B242">
        <v>256</v>
      </c>
      <c r="C242" t="s">
        <v>883</v>
      </c>
      <c r="D242" t="s">
        <v>884</v>
      </c>
      <c r="H242" s="166"/>
    </row>
    <row r="243" spans="1:8">
      <c r="A243" s="156" t="s">
        <v>885</v>
      </c>
      <c r="B243">
        <v>260</v>
      </c>
      <c r="C243" t="s">
        <v>886</v>
      </c>
      <c r="D243" t="s">
        <v>887</v>
      </c>
      <c r="H243" s="166"/>
    </row>
    <row r="244" spans="1:8">
      <c r="A244" s="156" t="s">
        <v>888</v>
      </c>
      <c r="B244">
        <v>264</v>
      </c>
      <c r="C244" t="s">
        <v>889</v>
      </c>
      <c r="D244" t="s">
        <v>932</v>
      </c>
      <c r="H244" s="166"/>
    </row>
    <row r="245" spans="1:8">
      <c r="A245" s="156" t="s">
        <v>891</v>
      </c>
      <c r="B245">
        <v>268</v>
      </c>
      <c r="C245" t="s">
        <v>892</v>
      </c>
      <c r="D245" t="s">
        <v>887</v>
      </c>
      <c r="H245" s="166"/>
    </row>
    <row r="246" spans="1:8">
      <c r="A246" s="156" t="s">
        <v>894</v>
      </c>
      <c r="B246">
        <v>272</v>
      </c>
      <c r="C246" t="s">
        <v>895</v>
      </c>
      <c r="D246" t="s">
        <v>932</v>
      </c>
      <c r="H246" s="166"/>
    </row>
    <row r="247" spans="1:8">
      <c r="A247" s="156" t="s">
        <v>896</v>
      </c>
      <c r="B247">
        <v>276</v>
      </c>
      <c r="C247" t="s">
        <v>947</v>
      </c>
      <c r="D247" t="s">
        <v>1045</v>
      </c>
      <c r="H247" s="166"/>
    </row>
    <row r="248" spans="1:8">
      <c r="A248" s="156" t="s">
        <v>898</v>
      </c>
      <c r="B248">
        <v>280</v>
      </c>
      <c r="C248" t="s">
        <v>1043</v>
      </c>
      <c r="D248" t="s">
        <v>1050</v>
      </c>
      <c r="H248" s="166"/>
    </row>
    <row r="249" spans="1:8">
      <c r="A249" s="156" t="s">
        <v>900</v>
      </c>
      <c r="B249">
        <v>284</v>
      </c>
      <c r="C249" t="s">
        <v>1055</v>
      </c>
      <c r="D249" t="s">
        <v>1051</v>
      </c>
      <c r="H249" s="166"/>
    </row>
    <row r="250" spans="1:8">
      <c r="A250" s="156" t="s">
        <v>949</v>
      </c>
      <c r="B250">
        <v>288</v>
      </c>
      <c r="C250" t="s">
        <v>1041</v>
      </c>
      <c r="D250" t="s">
        <v>932</v>
      </c>
      <c r="H250" s="166"/>
    </row>
    <row r="251" spans="1:8">
      <c r="A251" s="156"/>
      <c r="H251" s="166"/>
    </row>
    <row r="252" spans="1:8">
      <c r="A252" s="156"/>
      <c r="H252" s="166"/>
    </row>
    <row r="253" spans="1:8">
      <c r="A253" s="156"/>
      <c r="H253" s="166"/>
    </row>
    <row r="254" spans="1:8">
      <c r="A254" s="156"/>
      <c r="H254" s="166"/>
    </row>
    <row r="255" spans="1:8">
      <c r="A255" s="156" t="s">
        <v>902</v>
      </c>
      <c r="B255" t="s">
        <v>902</v>
      </c>
      <c r="H255" s="166"/>
    </row>
    <row r="256" spans="1:8">
      <c r="A256" s="156" t="s">
        <v>903</v>
      </c>
      <c r="B256" t="s">
        <v>953</v>
      </c>
      <c r="H256" s="166"/>
    </row>
    <row r="257" spans="1:8">
      <c r="A257" s="198" t="s">
        <v>1085</v>
      </c>
      <c r="H257" s="166"/>
    </row>
    <row r="258" spans="1:8">
      <c r="A258" s="156"/>
      <c r="H258" s="166"/>
    </row>
    <row r="259" spans="1:8">
      <c r="A259" s="156" t="s">
        <v>902</v>
      </c>
      <c r="B259" t="s">
        <v>905</v>
      </c>
      <c r="H259" s="166"/>
    </row>
    <row r="260" spans="1:8">
      <c r="A260" s="156" t="str">
        <f>"=Local"</f>
        <v>=Local</v>
      </c>
      <c r="B260" t="s">
        <v>906</v>
      </c>
      <c r="H260" s="166"/>
    </row>
    <row r="261" spans="1:8">
      <c r="A261" s="156" t="s">
        <v>954</v>
      </c>
      <c r="H261" s="166"/>
    </row>
    <row r="262" spans="1:8">
      <c r="A262" s="156"/>
      <c r="H262" s="166"/>
    </row>
    <row r="263" spans="1:8">
      <c r="A263" s="156" t="s">
        <v>902</v>
      </c>
      <c r="B263" t="s">
        <v>955</v>
      </c>
      <c r="H263" s="166"/>
    </row>
    <row r="264" spans="1:8">
      <c r="A264" s="156" t="str">
        <f>"=Local"</f>
        <v>=Local</v>
      </c>
      <c r="B264" t="s">
        <v>909</v>
      </c>
      <c r="H264" s="166"/>
    </row>
    <row r="265" spans="1:8">
      <c r="A265" s="156" t="s">
        <v>956</v>
      </c>
      <c r="H265" s="166"/>
    </row>
    <row r="266" spans="1:8">
      <c r="A266" s="156"/>
      <c r="H266" s="166"/>
    </row>
    <row r="267" spans="1:8">
      <c r="A267" s="156" t="s">
        <v>902</v>
      </c>
      <c r="B267" t="s">
        <v>905</v>
      </c>
      <c r="H267" s="166"/>
    </row>
    <row r="268" spans="1:8">
      <c r="A268" s="156" t="str">
        <f>"=Import"</f>
        <v>=Import</v>
      </c>
      <c r="B268" t="s">
        <v>909</v>
      </c>
      <c r="H268" s="166"/>
    </row>
    <row r="269" spans="1:8">
      <c r="A269" s="156" t="s">
        <v>957</v>
      </c>
      <c r="H269" s="166"/>
    </row>
    <row r="270" spans="1:8">
      <c r="A270" s="156"/>
      <c r="H270" s="166"/>
    </row>
    <row r="271" spans="1:8">
      <c r="A271" s="156" t="s">
        <v>902</v>
      </c>
      <c r="B271" t="s">
        <v>955</v>
      </c>
      <c r="H271" s="166"/>
    </row>
    <row r="272" spans="1:8">
      <c r="A272" s="156" t="str">
        <f>"=Import"</f>
        <v>=Import</v>
      </c>
      <c r="B272" t="s">
        <v>906</v>
      </c>
      <c r="H272" s="166"/>
    </row>
    <row r="273" spans="1:8">
      <c r="A273" s="156" t="s">
        <v>958</v>
      </c>
      <c r="H273" s="166"/>
    </row>
    <row r="274" spans="1:8">
      <c r="A274" s="156"/>
      <c r="H274" s="166"/>
    </row>
    <row r="275" spans="1:8">
      <c r="A275" s="156" t="s">
        <v>470</v>
      </c>
      <c r="H275" s="166"/>
    </row>
    <row r="276" spans="1:8">
      <c r="A276" s="156" t="str">
        <f>"=???????????????????????????????????????????????????*"</f>
        <v>=???????????????????????????????????????????????????*</v>
      </c>
      <c r="H276" s="166"/>
    </row>
    <row r="277" spans="1:8">
      <c r="A277" s="198" t="s">
        <v>1048</v>
      </c>
      <c r="H277" s="166"/>
    </row>
    <row r="278" spans="1:8">
      <c r="A278" s="198"/>
      <c r="H278" s="166"/>
    </row>
    <row r="279" spans="1:8">
      <c r="A279" s="198" t="s">
        <v>944</v>
      </c>
      <c r="H279" s="166"/>
    </row>
    <row r="280" spans="1:8">
      <c r="A280" s="198" t="str">
        <f>"=?????????????????????????????????????????*"</f>
        <v>=?????????????????????????????????????????*</v>
      </c>
      <c r="H280" s="166"/>
    </row>
    <row r="281" spans="1:8">
      <c r="A281" s="198" t="s">
        <v>1217</v>
      </c>
      <c r="H281" s="166"/>
    </row>
    <row r="282" spans="1:8">
      <c r="A282" s="198"/>
      <c r="H282" s="166"/>
    </row>
    <row r="283" spans="1:8">
      <c r="A283" s="198" t="s">
        <v>927</v>
      </c>
      <c r="H283" s="166"/>
    </row>
    <row r="284" spans="1:8">
      <c r="A284" s="198" t="str">
        <f>"=?????????????????????????????????????????????????????????????????????????????????????????????????????????????????????????????????????????????????????????????????????????????????????????????????????????*"</f>
        <v>=?????????????????????????????????????????????????????????????????????????????????????????????????????????????????????????????????????????????????????????????????????????????????????????????????????????*</v>
      </c>
      <c r="H284" s="166"/>
    </row>
    <row r="285" spans="1:8">
      <c r="A285" s="198" t="s">
        <v>1064</v>
      </c>
      <c r="H285" s="166"/>
    </row>
    <row r="286" spans="1:8">
      <c r="A286" s="198"/>
      <c r="H286" s="166"/>
    </row>
    <row r="287" spans="1:8">
      <c r="A287" s="198" t="s">
        <v>955</v>
      </c>
      <c r="H287" s="166"/>
    </row>
    <row r="288" spans="1:8">
      <c r="A288" s="198" t="str">
        <f>"=?????????????????????*"</f>
        <v>=?????????????????????*</v>
      </c>
      <c r="H288" s="166"/>
    </row>
    <row r="289" spans="1:8">
      <c r="A289" s="198" t="s">
        <v>1067</v>
      </c>
      <c r="H289" s="166"/>
    </row>
    <row r="290" spans="1:8">
      <c r="A290" s="156"/>
      <c r="H290" s="166"/>
    </row>
    <row r="291" spans="1:8">
      <c r="A291" s="156" t="s">
        <v>902</v>
      </c>
      <c r="B291" t="s">
        <v>941</v>
      </c>
      <c r="C291" t="s">
        <v>470</v>
      </c>
      <c r="D291" t="s">
        <v>943</v>
      </c>
      <c r="E291" t="s">
        <v>944</v>
      </c>
      <c r="F291" t="s">
        <v>927</v>
      </c>
      <c r="G291" t="s">
        <v>955</v>
      </c>
      <c r="H291" s="166" t="s">
        <v>960</v>
      </c>
    </row>
    <row r="292" spans="1:8">
      <c r="A292" s="156"/>
      <c r="H292" s="166"/>
    </row>
    <row r="293" spans="1:8">
      <c r="A293" s="156"/>
      <c r="H293" s="166"/>
    </row>
    <row r="294" spans="1:8">
      <c r="A294" s="156"/>
      <c r="H294" s="166"/>
    </row>
    <row r="295" spans="1:8">
      <c r="A295" s="156"/>
      <c r="H295" s="166"/>
    </row>
    <row r="296" spans="1:8">
      <c r="A296" s="156"/>
      <c r="H296" s="166"/>
    </row>
    <row r="297" spans="1:8">
      <c r="A297" s="156"/>
      <c r="H297" s="166"/>
    </row>
    <row r="298" spans="1:8">
      <c r="A298" s="195" t="s">
        <v>1180</v>
      </c>
      <c r="B298" s="196"/>
      <c r="C298" s="196"/>
      <c r="D298" s="196"/>
      <c r="E298" s="196"/>
      <c r="F298" s="196"/>
      <c r="G298" s="196"/>
      <c r="H298" s="197"/>
    </row>
    <row r="299" spans="1:8">
      <c r="A299" s="156" t="s">
        <v>878</v>
      </c>
      <c r="B299" t="s">
        <v>879</v>
      </c>
      <c r="C299" t="s">
        <v>880</v>
      </c>
      <c r="D299" t="s">
        <v>881</v>
      </c>
      <c r="H299" s="166"/>
    </row>
    <row r="300" spans="1:8">
      <c r="A300" s="156" t="s">
        <v>882</v>
      </c>
      <c r="B300">
        <v>314</v>
      </c>
      <c r="C300" t="s">
        <v>883</v>
      </c>
      <c r="D300" t="s">
        <v>884</v>
      </c>
      <c r="H300" s="166"/>
    </row>
    <row r="301" spans="1:8">
      <c r="A301" s="156" t="s">
        <v>885</v>
      </c>
      <c r="B301">
        <v>318</v>
      </c>
      <c r="C301" t="s">
        <v>886</v>
      </c>
      <c r="D301" t="s">
        <v>887</v>
      </c>
      <c r="H301" s="166"/>
    </row>
    <row r="302" spans="1:8">
      <c r="A302" s="156" t="s">
        <v>888</v>
      </c>
      <c r="B302">
        <v>322</v>
      </c>
      <c r="C302" t="s">
        <v>889</v>
      </c>
      <c r="D302" t="s">
        <v>1051</v>
      </c>
      <c r="H302" s="166"/>
    </row>
    <row r="303" spans="1:8">
      <c r="A303" s="156" t="s">
        <v>891</v>
      </c>
      <c r="B303">
        <v>326</v>
      </c>
      <c r="C303" t="s">
        <v>892</v>
      </c>
      <c r="D303" t="s">
        <v>890</v>
      </c>
      <c r="H303" s="166"/>
    </row>
    <row r="304" spans="1:8">
      <c r="A304" s="156" t="s">
        <v>894</v>
      </c>
      <c r="B304">
        <v>330</v>
      </c>
      <c r="C304" t="s">
        <v>895</v>
      </c>
      <c r="D304" t="s">
        <v>887</v>
      </c>
      <c r="H304" s="166"/>
    </row>
    <row r="305" spans="1:8">
      <c r="A305" s="156" t="s">
        <v>896</v>
      </c>
      <c r="B305">
        <v>334</v>
      </c>
      <c r="C305" t="s">
        <v>897</v>
      </c>
      <c r="D305" t="s">
        <v>1051</v>
      </c>
      <c r="H305" s="166"/>
    </row>
    <row r="306" spans="1:8">
      <c r="A306" s="156" t="s">
        <v>898</v>
      </c>
      <c r="B306">
        <v>338</v>
      </c>
      <c r="C306" t="s">
        <v>1200</v>
      </c>
      <c r="D306" t="s">
        <v>890</v>
      </c>
      <c r="H306" s="166"/>
    </row>
    <row r="307" spans="1:8">
      <c r="A307" s="156" t="s">
        <v>900</v>
      </c>
      <c r="B307">
        <v>342</v>
      </c>
      <c r="C307" t="s">
        <v>1201</v>
      </c>
      <c r="D307" t="s">
        <v>890</v>
      </c>
      <c r="H307" s="166"/>
    </row>
    <row r="308" spans="1:8">
      <c r="A308" s="156" t="s">
        <v>949</v>
      </c>
      <c r="B308">
        <v>346</v>
      </c>
      <c r="C308" t="s">
        <v>1041</v>
      </c>
      <c r="D308" t="s">
        <v>1045</v>
      </c>
      <c r="H308" s="166"/>
    </row>
    <row r="309" spans="1:8">
      <c r="A309" s="156" t="s">
        <v>951</v>
      </c>
      <c r="B309">
        <v>350</v>
      </c>
      <c r="C309" t="s">
        <v>1060</v>
      </c>
      <c r="D309" t="s">
        <v>1063</v>
      </c>
      <c r="H309" s="166"/>
    </row>
    <row r="310" spans="1:8">
      <c r="A310" s="156" t="s">
        <v>1046</v>
      </c>
      <c r="B310">
        <v>354</v>
      </c>
      <c r="C310" t="s">
        <v>1047</v>
      </c>
      <c r="D310" t="s">
        <v>932</v>
      </c>
      <c r="H310" s="166"/>
    </row>
    <row r="311" spans="1:8">
      <c r="A311" s="156" t="s">
        <v>1058</v>
      </c>
      <c r="B311">
        <v>358</v>
      </c>
      <c r="C311" t="s">
        <v>1061</v>
      </c>
      <c r="D311" t="s">
        <v>890</v>
      </c>
      <c r="H311" s="166"/>
    </row>
    <row r="312" spans="1:8">
      <c r="A312" s="156" t="s">
        <v>1059</v>
      </c>
      <c r="B312">
        <v>362</v>
      </c>
      <c r="C312" t="s">
        <v>1202</v>
      </c>
      <c r="D312" t="s">
        <v>1051</v>
      </c>
      <c r="H312" s="166"/>
    </row>
    <row r="313" spans="1:8">
      <c r="A313" s="156" t="s">
        <v>902</v>
      </c>
      <c r="B313" t="s">
        <v>902</v>
      </c>
      <c r="H313" s="166"/>
    </row>
    <row r="314" spans="1:8">
      <c r="A314" s="156" t="s">
        <v>903</v>
      </c>
      <c r="B314" t="s">
        <v>953</v>
      </c>
      <c r="H314" s="166"/>
    </row>
    <row r="315" spans="1:8">
      <c r="A315" s="198" t="s">
        <v>1085</v>
      </c>
      <c r="H315" s="166"/>
    </row>
    <row r="316" spans="1:8">
      <c r="A316" s="156"/>
      <c r="H316" s="166"/>
    </row>
    <row r="317" spans="1:8">
      <c r="A317" s="156" t="s">
        <v>902</v>
      </c>
      <c r="B317" t="s">
        <v>905</v>
      </c>
      <c r="H317" s="166"/>
    </row>
    <row r="318" spans="1:8">
      <c r="A318" s="156" t="str">
        <f>"=Local"</f>
        <v>=Local</v>
      </c>
      <c r="B318" t="s">
        <v>906</v>
      </c>
      <c r="H318" s="166"/>
    </row>
    <row r="319" spans="1:8">
      <c r="A319" s="156" t="s">
        <v>954</v>
      </c>
      <c r="H319" s="166"/>
    </row>
    <row r="320" spans="1:8">
      <c r="A320" s="156"/>
      <c r="H320" s="166"/>
    </row>
    <row r="321" spans="1:8">
      <c r="A321" s="156" t="s">
        <v>902</v>
      </c>
      <c r="B321" t="s">
        <v>155</v>
      </c>
      <c r="H321" s="166"/>
    </row>
    <row r="322" spans="1:8">
      <c r="A322" s="156" t="str">
        <f>"=Local"</f>
        <v>=Local</v>
      </c>
      <c r="B322" s="156" t="s">
        <v>909</v>
      </c>
      <c r="H322" s="166"/>
    </row>
    <row r="323" spans="1:8">
      <c r="A323" s="156" t="s">
        <v>1196</v>
      </c>
      <c r="H323" s="166"/>
    </row>
    <row r="324" spans="1:8">
      <c r="A324" s="156"/>
      <c r="H324" s="166"/>
    </row>
    <row r="325" spans="1:8">
      <c r="A325" s="156" t="s">
        <v>902</v>
      </c>
      <c r="B325" t="s">
        <v>955</v>
      </c>
      <c r="H325" s="166"/>
    </row>
    <row r="326" spans="1:8">
      <c r="A326" s="156" t="str">
        <f>"=Local"</f>
        <v>=Local</v>
      </c>
      <c r="B326" s="156" t="s">
        <v>909</v>
      </c>
      <c r="H326" s="166"/>
    </row>
    <row r="327" spans="1:8">
      <c r="A327" s="156" t="s">
        <v>1197</v>
      </c>
      <c r="H327" s="166"/>
    </row>
    <row r="328" spans="1:8">
      <c r="A328" s="156"/>
      <c r="H328" s="166"/>
    </row>
    <row r="329" spans="1:8">
      <c r="A329" s="156" t="s">
        <v>902</v>
      </c>
      <c r="B329" t="s">
        <v>905</v>
      </c>
      <c r="H329" s="166"/>
    </row>
    <row r="330" spans="1:8">
      <c r="A330" s="156" t="str">
        <f>"=Import"</f>
        <v>=Import</v>
      </c>
      <c r="B330" t="s">
        <v>909</v>
      </c>
      <c r="H330" s="166"/>
    </row>
    <row r="331" spans="1:8">
      <c r="A331" s="156" t="s">
        <v>957</v>
      </c>
      <c r="H331" s="166"/>
    </row>
    <row r="332" spans="1:8">
      <c r="A332" s="156"/>
      <c r="H332" s="166"/>
    </row>
    <row r="333" spans="1:8">
      <c r="A333" s="156" t="s">
        <v>902</v>
      </c>
      <c r="B333" t="s">
        <v>155</v>
      </c>
      <c r="H333" s="166"/>
    </row>
    <row r="334" spans="1:8">
      <c r="A334" s="156" t="str">
        <f>"=Import"</f>
        <v>=Import</v>
      </c>
      <c r="B334" t="s">
        <v>906</v>
      </c>
      <c r="H334" s="166"/>
    </row>
    <row r="335" spans="1:8">
      <c r="A335" s="156" t="s">
        <v>1198</v>
      </c>
      <c r="H335" s="166"/>
    </row>
    <row r="336" spans="1:8">
      <c r="A336" s="156"/>
      <c r="H336" s="166"/>
    </row>
    <row r="337" spans="1:8">
      <c r="A337" s="156" t="s">
        <v>902</v>
      </c>
      <c r="B337" t="s">
        <v>155</v>
      </c>
      <c r="C337" t="s">
        <v>955</v>
      </c>
      <c r="H337" s="166"/>
    </row>
    <row r="338" spans="1:8">
      <c r="A338" s="156" t="str">
        <f>"=Import"</f>
        <v>=Import</v>
      </c>
      <c r="B338" s="156" t="str">
        <f>"=Goods"</f>
        <v>=Goods</v>
      </c>
      <c r="C338" t="s">
        <v>906</v>
      </c>
      <c r="H338" s="166"/>
    </row>
    <row r="339" spans="1:8">
      <c r="A339" s="156" t="s">
        <v>1181</v>
      </c>
      <c r="H339" s="166"/>
    </row>
    <row r="340" spans="1:8">
      <c r="A340" s="156"/>
      <c r="H340" s="166"/>
    </row>
    <row r="341" spans="1:8">
      <c r="A341" s="156" t="s">
        <v>902</v>
      </c>
      <c r="B341" t="s">
        <v>155</v>
      </c>
      <c r="C341" t="s">
        <v>955</v>
      </c>
      <c r="H341" s="166"/>
    </row>
    <row r="342" spans="1:8">
      <c r="A342" s="156" t="str">
        <f>"=Import"</f>
        <v>=Import</v>
      </c>
      <c r="B342" s="156" t="str">
        <f>"=Services"</f>
        <v>=Services</v>
      </c>
      <c r="C342" t="s">
        <v>909</v>
      </c>
      <c r="H342" s="166"/>
    </row>
    <row r="343" spans="1:8">
      <c r="A343" s="156" t="s">
        <v>1199</v>
      </c>
      <c r="H343" s="166"/>
    </row>
    <row r="344" spans="1:8">
      <c r="A344" s="156"/>
      <c r="H344" s="166"/>
    </row>
    <row r="345" spans="1:8">
      <c r="A345" s="156" t="s">
        <v>470</v>
      </c>
      <c r="H345" s="166"/>
    </row>
    <row r="346" spans="1:8">
      <c r="A346" s="156" t="str">
        <f>"=???????????????????????????????????????????????????*"</f>
        <v>=???????????????????????????????????????????????????*</v>
      </c>
      <c r="H346" s="166"/>
    </row>
    <row r="347" spans="1:8">
      <c r="A347" s="198" t="s">
        <v>1048</v>
      </c>
      <c r="H347" s="166"/>
    </row>
    <row r="348" spans="1:8">
      <c r="A348" s="198"/>
      <c r="H348" s="166"/>
    </row>
    <row r="349" spans="1:8">
      <c r="A349" s="198" t="s">
        <v>944</v>
      </c>
      <c r="H349" s="166"/>
    </row>
    <row r="350" spans="1:8">
      <c r="A350" s="198" t="str">
        <f>"=?????????????????????????????????????????*"</f>
        <v>=?????????????????????????????????????????*</v>
      </c>
      <c r="H350" s="166"/>
    </row>
    <row r="351" spans="1:8">
      <c r="A351" s="198" t="s">
        <v>1217</v>
      </c>
      <c r="H351" s="166"/>
    </row>
    <row r="352" spans="1:8">
      <c r="A352" s="198"/>
      <c r="H352" s="166"/>
    </row>
    <row r="353" spans="1:8">
      <c r="A353" s="198" t="s">
        <v>927</v>
      </c>
      <c r="H353" s="166"/>
    </row>
    <row r="354" spans="1:8">
      <c r="A354" s="198" t="str">
        <f>"=?????????????????????????????????????????????????????????????????????????????????????????????????????????????????????????????????????????????????????????????????????????????????????????????????????????*"</f>
        <v>=?????????????????????????????????????????????????????????????????????????????????????????????????????????????????????????????????????????????????????????????????????????????????????????????????????????*</v>
      </c>
      <c r="H354" s="166"/>
    </row>
    <row r="355" spans="1:8">
      <c r="A355" s="198" t="s">
        <v>1064</v>
      </c>
      <c r="H355" s="166"/>
    </row>
    <row r="356" spans="1:8">
      <c r="A356" s="198"/>
      <c r="H356" s="166"/>
    </row>
    <row r="357" spans="1:8">
      <c r="A357" s="198" t="s">
        <v>955</v>
      </c>
      <c r="H357" s="166"/>
    </row>
    <row r="358" spans="1:8">
      <c r="A358" s="198" t="str">
        <f>"=?????????????????????*"</f>
        <v>=?????????????????????*</v>
      </c>
      <c r="H358" s="166"/>
    </row>
    <row r="359" spans="1:8">
      <c r="A359" s="198" t="s">
        <v>1067</v>
      </c>
      <c r="H359" s="166"/>
    </row>
    <row r="360" spans="1:8">
      <c r="A360" s="156"/>
      <c r="H360" s="166"/>
    </row>
    <row r="361" spans="1:8">
      <c r="A361" t="s">
        <v>902</v>
      </c>
      <c r="B361" t="s">
        <v>155</v>
      </c>
      <c r="C361" t="s">
        <v>155</v>
      </c>
    </row>
    <row r="362" spans="1:8">
      <c r="A362" s="156" t="str">
        <f>"=Import"</f>
        <v>=Import</v>
      </c>
      <c r="B362" t="s">
        <v>1183</v>
      </c>
      <c r="C362" t="s">
        <v>1182</v>
      </c>
    </row>
    <row r="363" spans="1:8">
      <c r="A363" s="198" t="s">
        <v>1184</v>
      </c>
    </row>
    <row r="371" spans="1:11">
      <c r="A371" s="156" t="s">
        <v>902</v>
      </c>
      <c r="B371" t="s">
        <v>941</v>
      </c>
      <c r="C371" t="s">
        <v>470</v>
      </c>
      <c r="D371" t="s">
        <v>943</v>
      </c>
      <c r="E371" t="s">
        <v>944</v>
      </c>
      <c r="F371" t="s">
        <v>155</v>
      </c>
      <c r="G371" t="s">
        <v>927</v>
      </c>
      <c r="H371" t="s">
        <v>955</v>
      </c>
      <c r="I371" s="166" t="s">
        <v>960</v>
      </c>
    </row>
    <row r="376" spans="1:11">
      <c r="A376" s="153" t="s">
        <v>1072</v>
      </c>
      <c r="B376" s="196"/>
      <c r="C376" s="196"/>
      <c r="D376" s="196"/>
      <c r="E376" s="196"/>
      <c r="F376" s="196"/>
      <c r="G376" s="196"/>
      <c r="H376" s="196"/>
      <c r="I376" s="196"/>
      <c r="J376" s="196"/>
      <c r="K376" s="197"/>
    </row>
    <row r="377" spans="1:11">
      <c r="A377" s="156" t="s">
        <v>878</v>
      </c>
      <c r="B377" t="s">
        <v>879</v>
      </c>
      <c r="C377" t="s">
        <v>880</v>
      </c>
      <c r="D377" t="s">
        <v>881</v>
      </c>
      <c r="K377" s="166"/>
    </row>
    <row r="378" spans="1:11">
      <c r="A378" s="156" t="s">
        <v>882</v>
      </c>
      <c r="B378">
        <v>389</v>
      </c>
      <c r="C378" t="s">
        <v>930</v>
      </c>
      <c r="D378" t="s">
        <v>887</v>
      </c>
      <c r="K378" s="166"/>
    </row>
    <row r="379" spans="1:11">
      <c r="A379" s="156" t="s">
        <v>885</v>
      </c>
      <c r="B379">
        <v>393</v>
      </c>
      <c r="C379" t="s">
        <v>931</v>
      </c>
      <c r="D379" t="s">
        <v>1045</v>
      </c>
      <c r="K379" s="166"/>
    </row>
    <row r="380" spans="1:11">
      <c r="A380" s="156" t="s">
        <v>888</v>
      </c>
      <c r="B380">
        <v>397</v>
      </c>
      <c r="C380" t="s">
        <v>1052</v>
      </c>
      <c r="D380" t="s">
        <v>1050</v>
      </c>
      <c r="K380" s="166"/>
    </row>
    <row r="381" spans="1:11">
      <c r="A381" s="156" t="s">
        <v>891</v>
      </c>
      <c r="B381">
        <v>401</v>
      </c>
      <c r="C381" t="s">
        <v>1053</v>
      </c>
      <c r="D381" t="s">
        <v>1051</v>
      </c>
      <c r="K381" s="166"/>
    </row>
    <row r="382" spans="1:11">
      <c r="A382" s="156"/>
      <c r="K382" s="166"/>
    </row>
    <row r="383" spans="1:11">
      <c r="A383" s="156"/>
      <c r="K383" s="166"/>
    </row>
    <row r="384" spans="1:11">
      <c r="A384" s="156"/>
      <c r="K384" s="166"/>
    </row>
    <row r="385" spans="1:11">
      <c r="A385" s="156"/>
      <c r="K385" s="166"/>
    </row>
    <row r="386" spans="1:11">
      <c r="A386" s="156"/>
      <c r="K386" s="166"/>
    </row>
    <row r="387" spans="1:11">
      <c r="A387" s="156"/>
      <c r="K387" s="166"/>
    </row>
    <row r="388" spans="1:11">
      <c r="A388" s="198" t="s">
        <v>470</v>
      </c>
      <c r="K388" s="166"/>
    </row>
    <row r="389" spans="1:11">
      <c r="A389" s="198" t="str">
        <f>"=???????????????????????????????????????????????????*"</f>
        <v>=???????????????????????????????????????????????????*</v>
      </c>
      <c r="K389" s="166"/>
    </row>
    <row r="390" spans="1:11">
      <c r="A390" s="198" t="s">
        <v>1044</v>
      </c>
      <c r="K390" s="166"/>
    </row>
    <row r="391" spans="1:11">
      <c r="A391" s="198"/>
      <c r="K391" s="166"/>
    </row>
    <row r="392" spans="1:11">
      <c r="A392" s="198" t="s">
        <v>942</v>
      </c>
      <c r="K392" s="166"/>
    </row>
    <row r="393" spans="1:11">
      <c r="A393" s="198" t="str">
        <f>"=?????????????????????*"</f>
        <v>=?????????????????????*</v>
      </c>
      <c r="K393" s="166"/>
    </row>
    <row r="394" spans="1:11">
      <c r="A394" s="198" t="s">
        <v>1049</v>
      </c>
      <c r="K394" s="166"/>
    </row>
    <row r="395" spans="1:11">
      <c r="A395" s="198"/>
      <c r="K395" s="166"/>
    </row>
    <row r="396" spans="1:11">
      <c r="A396" s="198" t="s">
        <v>944</v>
      </c>
      <c r="K396" s="166"/>
    </row>
    <row r="397" spans="1:11">
      <c r="A397" s="198" t="str">
        <f>"=?????????????????????????????????????????*"</f>
        <v>=?????????????????????????????????????????*</v>
      </c>
      <c r="K397" s="166"/>
    </row>
    <row r="398" spans="1:11">
      <c r="A398" s="198" t="s">
        <v>1216</v>
      </c>
      <c r="K398" s="166"/>
    </row>
    <row r="399" spans="1:11">
      <c r="A399" s="198"/>
      <c r="K399" s="166"/>
    </row>
    <row r="400" spans="1:11">
      <c r="A400" s="198" t="s">
        <v>927</v>
      </c>
      <c r="K400" s="166"/>
    </row>
    <row r="401" spans="1:11">
      <c r="A401" s="198" t="str">
        <f>"=?????????????????????????????????????????????????????????????????????????????????????????????????????????????????????????????????????????????????????????????????????????????????????????????????????????*"</f>
        <v>=?????????????????????????????????????????????????????????????????????????????????????????????????????????????????????????????????????????????????????????????????????????????????????????????????????????*</v>
      </c>
      <c r="K401" s="166"/>
    </row>
    <row r="402" spans="1:11">
      <c r="A402" s="198" t="s">
        <v>1057</v>
      </c>
      <c r="K402" s="166"/>
    </row>
    <row r="403" spans="1:11">
      <c r="A403" s="156"/>
      <c r="K403" s="166"/>
    </row>
    <row r="404" spans="1:11">
      <c r="A404" s="156" t="s">
        <v>941</v>
      </c>
      <c r="B404" t="s">
        <v>470</v>
      </c>
      <c r="C404" t="s">
        <v>942</v>
      </c>
      <c r="D404" t="s">
        <v>943</v>
      </c>
      <c r="E404" t="s">
        <v>944</v>
      </c>
      <c r="F404" t="s">
        <v>927</v>
      </c>
      <c r="G404" t="s">
        <v>1073</v>
      </c>
      <c r="K404" s="166"/>
    </row>
    <row r="405" spans="1:11">
      <c r="A405" s="156"/>
      <c r="K405" s="166"/>
    </row>
    <row r="406" spans="1:11">
      <c r="A406" s="156"/>
      <c r="K406" s="166"/>
    </row>
    <row r="407" spans="1:11">
      <c r="A407" s="156"/>
      <c r="K407" s="166"/>
    </row>
    <row r="408" spans="1:11">
      <c r="A408" s="156"/>
      <c r="K408" s="166"/>
    </row>
    <row r="409" spans="1:11">
      <c r="A409" s="156"/>
      <c r="K409" s="166"/>
    </row>
    <row r="410" spans="1:11">
      <c r="A410" s="156"/>
      <c r="K410" s="166"/>
    </row>
    <row r="411" spans="1:11">
      <c r="A411" s="156"/>
      <c r="K411" s="166"/>
    </row>
    <row r="412" spans="1:11">
      <c r="A412" s="156"/>
      <c r="K412" s="166"/>
    </row>
    <row r="413" spans="1:11">
      <c r="A413" s="156"/>
      <c r="K413" s="166"/>
    </row>
    <row r="414" spans="1:11">
      <c r="A414" s="156"/>
      <c r="K414" s="166"/>
    </row>
    <row r="415" spans="1:11">
      <c r="A415" s="156"/>
      <c r="K415" s="166"/>
    </row>
    <row r="416" spans="1:11">
      <c r="A416" s="156"/>
      <c r="K416" s="166"/>
    </row>
    <row r="417" spans="1:11">
      <c r="A417" s="156"/>
      <c r="K417" s="166"/>
    </row>
    <row r="418" spans="1:11">
      <c r="A418" s="156"/>
      <c r="K418" s="166"/>
    </row>
    <row r="419" spans="1:11">
      <c r="A419" s="156"/>
      <c r="K419" s="166"/>
    </row>
    <row r="420" spans="1:11">
      <c r="A420" s="156"/>
      <c r="K420" s="166"/>
    </row>
    <row r="421" spans="1:11">
      <c r="A421" s="156"/>
      <c r="K421" s="166"/>
    </row>
    <row r="422" spans="1:11">
      <c r="A422" s="156"/>
      <c r="K422" s="166"/>
    </row>
    <row r="423" spans="1:11">
      <c r="A423" s="167"/>
      <c r="B423" s="158"/>
      <c r="C423" s="158"/>
      <c r="D423" s="158"/>
      <c r="E423" s="158"/>
      <c r="F423" s="158"/>
      <c r="G423" s="158"/>
      <c r="H423" s="158"/>
      <c r="I423" s="158"/>
      <c r="J423" s="158"/>
      <c r="K423" s="168"/>
    </row>
    <row r="424" spans="1:11">
      <c r="A424" s="156"/>
    </row>
    <row r="425" spans="1:11">
      <c r="A425" s="156"/>
    </row>
    <row r="426" spans="1:11">
      <c r="A426" s="156"/>
    </row>
    <row r="427" spans="1:11">
      <c r="A427" s="156"/>
    </row>
    <row r="428" spans="1:11">
      <c r="A428" s="156"/>
    </row>
    <row r="429" spans="1:11">
      <c r="A429" s="156"/>
    </row>
    <row r="430" spans="1:11">
      <c r="A430" s="156"/>
    </row>
    <row r="431" spans="1:11">
      <c r="A431" s="156"/>
    </row>
    <row r="432" spans="1:11">
      <c r="A432" s="153" t="s">
        <v>1074</v>
      </c>
      <c r="B432" s="196"/>
      <c r="C432" s="196"/>
      <c r="D432" s="196"/>
      <c r="E432" s="196"/>
      <c r="F432" s="196"/>
      <c r="G432" s="196"/>
      <c r="H432" s="196"/>
      <c r="I432" s="196"/>
      <c r="J432" s="196"/>
      <c r="K432" s="197"/>
    </row>
    <row r="433" spans="1:11">
      <c r="A433" s="156" t="s">
        <v>878</v>
      </c>
      <c r="B433" t="s">
        <v>879</v>
      </c>
      <c r="C433" t="s">
        <v>880</v>
      </c>
      <c r="D433" t="s">
        <v>881</v>
      </c>
      <c r="K433" s="166"/>
    </row>
    <row r="434" spans="1:11">
      <c r="A434" s="156" t="s">
        <v>882</v>
      </c>
      <c r="B434">
        <v>443</v>
      </c>
      <c r="C434" t="s">
        <v>930</v>
      </c>
      <c r="D434" t="s">
        <v>884</v>
      </c>
      <c r="K434" s="166"/>
    </row>
    <row r="435" spans="1:11">
      <c r="A435" s="156" t="s">
        <v>885</v>
      </c>
      <c r="B435">
        <v>447</v>
      </c>
      <c r="C435" t="s">
        <v>931</v>
      </c>
      <c r="D435" t="s">
        <v>887</v>
      </c>
      <c r="K435" s="166"/>
    </row>
    <row r="436" spans="1:11">
      <c r="A436" s="156" t="s">
        <v>888</v>
      </c>
      <c r="B436">
        <v>451</v>
      </c>
      <c r="C436" t="s">
        <v>1052</v>
      </c>
      <c r="D436" t="s">
        <v>1050</v>
      </c>
      <c r="K436" s="166"/>
    </row>
    <row r="437" spans="1:11">
      <c r="A437" s="156" t="s">
        <v>891</v>
      </c>
      <c r="B437">
        <v>455</v>
      </c>
      <c r="C437" t="s">
        <v>1053</v>
      </c>
      <c r="D437" t="s">
        <v>1051</v>
      </c>
      <c r="K437" s="166"/>
    </row>
    <row r="438" spans="1:11">
      <c r="A438" s="156" t="s">
        <v>894</v>
      </c>
      <c r="B438">
        <v>459</v>
      </c>
      <c r="C438" t="s">
        <v>1054</v>
      </c>
      <c r="D438" t="s">
        <v>932</v>
      </c>
      <c r="K438" s="166"/>
    </row>
    <row r="439" spans="1:11">
      <c r="A439" s="156"/>
      <c r="K439" s="166"/>
    </row>
    <row r="440" spans="1:11">
      <c r="A440" s="156"/>
      <c r="K440" s="166"/>
    </row>
    <row r="441" spans="1:11">
      <c r="A441" s="156"/>
      <c r="K441" s="166"/>
    </row>
    <row r="442" spans="1:11">
      <c r="A442" s="198" t="s">
        <v>470</v>
      </c>
      <c r="K442" s="166"/>
    </row>
    <row r="443" spans="1:11">
      <c r="A443" s="198" t="str">
        <f>"=???????????????????????????????????????????????????*"</f>
        <v>=???????????????????????????????????????????????????*</v>
      </c>
      <c r="K443" s="166"/>
    </row>
    <row r="444" spans="1:11">
      <c r="A444" s="198" t="s">
        <v>1044</v>
      </c>
      <c r="K444" s="166"/>
    </row>
    <row r="445" spans="1:11">
      <c r="A445" s="198"/>
      <c r="K445" s="166"/>
    </row>
    <row r="446" spans="1:11">
      <c r="A446" s="198" t="s">
        <v>927</v>
      </c>
      <c r="K446" s="166"/>
    </row>
    <row r="447" spans="1:11">
      <c r="A447" s="198" t="str">
        <f>"=?????????????????????????????????????????????????????????????????????????????????????????????????????????????????????????????????????????????????????????????????????????????????????????????????????????*"</f>
        <v>=?????????????????????????????????????????????????????????????????????????????????????????????????????????????????????????????????????????????????????????????????????????????????????????????????????????*</v>
      </c>
      <c r="K447" s="166"/>
    </row>
    <row r="448" spans="1:11">
      <c r="A448" s="198" t="s">
        <v>1057</v>
      </c>
      <c r="K448" s="166"/>
    </row>
    <row r="449" spans="1:11">
      <c r="A449" s="156"/>
      <c r="K449" s="166"/>
    </row>
    <row r="450" spans="1:11">
      <c r="A450" s="198" t="s">
        <v>944</v>
      </c>
      <c r="K450" s="166"/>
    </row>
    <row r="451" spans="1:11">
      <c r="A451" s="198" t="str">
        <f>"=?????????????????????*"</f>
        <v>=?????????????????????*</v>
      </c>
      <c r="K451" s="166"/>
    </row>
    <row r="452" spans="1:11">
      <c r="A452" s="198" t="s">
        <v>1049</v>
      </c>
      <c r="K452" s="166"/>
    </row>
    <row r="453" spans="1:11">
      <c r="A453" s="198"/>
      <c r="K453" s="166"/>
    </row>
    <row r="454" spans="1:11">
      <c r="A454" s="198" t="s">
        <v>1075</v>
      </c>
      <c r="K454" s="166"/>
    </row>
    <row r="455" spans="1:11">
      <c r="A455" s="198" t="str">
        <f>"=?????????????????????*"</f>
        <v>=?????????????????????*</v>
      </c>
      <c r="K455" s="166"/>
    </row>
    <row r="456" spans="1:11">
      <c r="A456" s="198" t="s">
        <v>1078</v>
      </c>
      <c r="K456" s="166"/>
    </row>
    <row r="457" spans="1:11">
      <c r="A457" s="198"/>
      <c r="K457" s="166"/>
    </row>
    <row r="458" spans="1:11">
      <c r="A458" s="198" t="s">
        <v>928</v>
      </c>
      <c r="K458" s="166"/>
    </row>
    <row r="459" spans="1:11">
      <c r="A459" s="198" t="str">
        <f>"&lt;0"</f>
        <v>&lt;0</v>
      </c>
      <c r="K459" s="166"/>
    </row>
    <row r="460" spans="1:11">
      <c r="A460" s="198" t="s">
        <v>1086</v>
      </c>
      <c r="K460" s="166"/>
    </row>
    <row r="461" spans="1:11">
      <c r="A461" s="198"/>
      <c r="K461" s="166"/>
    </row>
    <row r="462" spans="1:11">
      <c r="A462" s="156" t="s">
        <v>470</v>
      </c>
      <c r="B462" t="s">
        <v>927</v>
      </c>
      <c r="C462" t="s">
        <v>1076</v>
      </c>
      <c r="D462" t="s">
        <v>943</v>
      </c>
      <c r="E462" t="s">
        <v>944</v>
      </c>
      <c r="F462" t="s">
        <v>1075</v>
      </c>
      <c r="G462" t="s">
        <v>928</v>
      </c>
      <c r="K462" s="166"/>
    </row>
    <row r="463" spans="1:11">
      <c r="A463" s="156"/>
      <c r="K463" s="166"/>
    </row>
    <row r="464" spans="1:11">
      <c r="A464" s="156"/>
      <c r="K464" s="166"/>
    </row>
    <row r="465" spans="1:11">
      <c r="A465" s="156"/>
      <c r="K465" s="166"/>
    </row>
    <row r="466" spans="1:11">
      <c r="A466" s="156"/>
      <c r="K466" s="166"/>
    </row>
    <row r="467" spans="1:11">
      <c r="A467" s="156"/>
      <c r="K467" s="166"/>
    </row>
    <row r="468" spans="1:11">
      <c r="A468" s="156"/>
      <c r="K468" s="166"/>
    </row>
    <row r="469" spans="1:11">
      <c r="A469" s="156"/>
      <c r="K469" s="166"/>
    </row>
    <row r="470" spans="1:11">
      <c r="A470" s="156"/>
      <c r="K470" s="166"/>
    </row>
    <row r="471" spans="1:11">
      <c r="A471" s="156"/>
      <c r="K471" s="166"/>
    </row>
    <row r="472" spans="1:11">
      <c r="A472" s="156"/>
      <c r="K472" s="166"/>
    </row>
    <row r="473" spans="1:11">
      <c r="A473" s="156"/>
      <c r="K473" s="166"/>
    </row>
    <row r="474" spans="1:11">
      <c r="A474" s="156"/>
      <c r="K474" s="166"/>
    </row>
    <row r="475" spans="1:11">
      <c r="A475" s="156"/>
      <c r="K475" s="166"/>
    </row>
    <row r="476" spans="1:11">
      <c r="A476" s="156"/>
      <c r="K476" s="166"/>
    </row>
    <row r="477" spans="1:11">
      <c r="A477" s="156"/>
      <c r="K477" s="166"/>
    </row>
    <row r="478" spans="1:11">
      <c r="A478" s="156"/>
      <c r="K478" s="166"/>
    </row>
    <row r="479" spans="1:11">
      <c r="A479" s="156"/>
      <c r="K479" s="166"/>
    </row>
    <row r="480" spans="1:11">
      <c r="A480" s="156"/>
      <c r="K480" s="166"/>
    </row>
    <row r="481" spans="1:11">
      <c r="A481" s="156"/>
      <c r="K481" s="166"/>
    </row>
    <row r="482" spans="1:11">
      <c r="A482" s="156"/>
      <c r="K482" s="166"/>
    </row>
    <row r="483" spans="1:11">
      <c r="A483" s="156"/>
      <c r="K483" s="166"/>
    </row>
    <row r="484" spans="1:11">
      <c r="A484" s="156"/>
      <c r="K484" s="166"/>
    </row>
    <row r="485" spans="1:11">
      <c r="A485" s="156"/>
      <c r="K485" s="166"/>
    </row>
    <row r="486" spans="1:11">
      <c r="A486" s="156"/>
      <c r="K486" s="166"/>
    </row>
    <row r="487" spans="1:11">
      <c r="A487" s="156"/>
      <c r="K487" s="166"/>
    </row>
    <row r="488" spans="1:11">
      <c r="A488" s="156"/>
      <c r="K488" s="166"/>
    </row>
    <row r="489" spans="1:11">
      <c r="A489" s="156"/>
      <c r="K489" s="166"/>
    </row>
    <row r="490" spans="1:11">
      <c r="A490" s="156"/>
      <c r="K490" s="166"/>
    </row>
    <row r="491" spans="1:11">
      <c r="A491" s="156"/>
      <c r="K491" s="166"/>
    </row>
    <row r="492" spans="1:11">
      <c r="A492" s="156"/>
      <c r="K492" s="166"/>
    </row>
    <row r="493" spans="1:11">
      <c r="A493" s="156"/>
      <c r="K493" s="166"/>
    </row>
    <row r="494" spans="1:11">
      <c r="A494" s="156"/>
      <c r="K494" s="166"/>
    </row>
    <row r="495" spans="1:11">
      <c r="A495" s="156"/>
      <c r="K495" s="166"/>
    </row>
    <row r="496" spans="1:11">
      <c r="A496" s="156"/>
      <c r="K496" s="166"/>
    </row>
    <row r="497" spans="1:11">
      <c r="A497" s="156"/>
      <c r="K497" s="166"/>
    </row>
    <row r="498" spans="1:11">
      <c r="A498" s="156"/>
      <c r="K498" s="166"/>
    </row>
    <row r="499" spans="1:11">
      <c r="A499" s="156"/>
      <c r="K499" s="166"/>
    </row>
    <row r="500" spans="1:11">
      <c r="A500" s="156"/>
      <c r="K500" s="166"/>
    </row>
    <row r="501" spans="1:11">
      <c r="A501" s="156"/>
      <c r="K501" s="166"/>
    </row>
    <row r="502" spans="1:11">
      <c r="A502" s="156"/>
      <c r="K502" s="166"/>
    </row>
    <row r="503" spans="1:11">
      <c r="A503" s="156"/>
      <c r="K503" s="166"/>
    </row>
    <row r="504" spans="1:11">
      <c r="A504" s="156"/>
      <c r="K504" s="166"/>
    </row>
    <row r="505" spans="1:11">
      <c r="A505" s="156"/>
      <c r="K505" s="166"/>
    </row>
    <row r="506" spans="1:11">
      <c r="A506" s="156"/>
      <c r="K506" s="166"/>
    </row>
    <row r="507" spans="1:11">
      <c r="A507" s="156"/>
      <c r="K507" s="166"/>
    </row>
    <row r="508" spans="1:11">
      <c r="A508" s="156"/>
      <c r="K508" s="166"/>
    </row>
    <row r="509" spans="1:11">
      <c r="A509" s="156"/>
      <c r="K509" s="166"/>
    </row>
    <row r="510" spans="1:11">
      <c r="A510" s="156"/>
      <c r="K510" s="166"/>
    </row>
    <row r="511" spans="1:11">
      <c r="A511" s="156"/>
      <c r="K511" s="166"/>
    </row>
    <row r="512" spans="1:11">
      <c r="A512" s="156"/>
      <c r="K512" s="166"/>
    </row>
    <row r="513" spans="1:11">
      <c r="A513" s="156"/>
      <c r="K513" s="166"/>
    </row>
    <row r="514" spans="1:11">
      <c r="A514" s="156"/>
      <c r="K514" s="166"/>
    </row>
    <row r="515" spans="1:11">
      <c r="A515" s="156"/>
      <c r="K515" s="166"/>
    </row>
    <row r="516" spans="1:11">
      <c r="A516" s="156"/>
      <c r="K516" s="166"/>
    </row>
    <row r="517" spans="1:11">
      <c r="A517" s="156"/>
      <c r="K517" s="166"/>
    </row>
    <row r="518" spans="1:11">
      <c r="A518" s="156"/>
      <c r="K518" s="166"/>
    </row>
    <row r="519" spans="1:11">
      <c r="A519" s="167"/>
      <c r="B519" s="158"/>
      <c r="C519" s="158"/>
      <c r="D519" s="158"/>
      <c r="E519" s="158"/>
      <c r="F519" s="158"/>
      <c r="G519" s="158"/>
      <c r="H519" s="158"/>
      <c r="I519" s="158"/>
      <c r="J519" s="158"/>
      <c r="K519" s="168"/>
    </row>
    <row r="521" spans="1:11">
      <c r="A521" s="153" t="s">
        <v>1077</v>
      </c>
      <c r="B521" s="196"/>
      <c r="C521" s="196"/>
      <c r="D521" s="196"/>
      <c r="E521" s="196"/>
      <c r="F521" s="196"/>
      <c r="G521" s="196"/>
      <c r="H521" s="196"/>
      <c r="I521" s="196"/>
      <c r="J521" s="196"/>
      <c r="K521" s="197"/>
    </row>
    <row r="522" spans="1:11">
      <c r="A522" s="156" t="s">
        <v>878</v>
      </c>
      <c r="B522" t="s">
        <v>879</v>
      </c>
      <c r="C522" t="s">
        <v>880</v>
      </c>
      <c r="D522" t="s">
        <v>881</v>
      </c>
      <c r="K522" s="166"/>
    </row>
    <row r="523" spans="1:11">
      <c r="A523" s="156" t="s">
        <v>882</v>
      </c>
      <c r="B523">
        <v>530</v>
      </c>
      <c r="C523" t="s">
        <v>930</v>
      </c>
      <c r="D523" t="s">
        <v>884</v>
      </c>
      <c r="K523" s="166"/>
    </row>
    <row r="524" spans="1:11">
      <c r="A524" s="156"/>
      <c r="K524" s="166"/>
    </row>
    <row r="525" spans="1:11">
      <c r="A525" s="156"/>
      <c r="K525" s="166"/>
    </row>
    <row r="526" spans="1:11">
      <c r="A526" s="156"/>
      <c r="K526" s="166"/>
    </row>
    <row r="527" spans="1:11">
      <c r="A527" s="156"/>
      <c r="K527" s="166"/>
    </row>
    <row r="528" spans="1:11">
      <c r="A528" s="156"/>
      <c r="K528" s="166"/>
    </row>
    <row r="529" spans="1:11">
      <c r="A529" s="198" t="s">
        <v>1075</v>
      </c>
      <c r="K529" s="166"/>
    </row>
    <row r="530" spans="1:11">
      <c r="A530" s="198" t="str">
        <f>"=?????????????????????*"</f>
        <v>=?????????????????????*</v>
      </c>
      <c r="K530" s="166"/>
    </row>
    <row r="531" spans="1:11">
      <c r="A531" s="198" t="s">
        <v>1078</v>
      </c>
      <c r="K531" s="166"/>
    </row>
    <row r="532" spans="1:11">
      <c r="A532" s="156"/>
      <c r="K532" s="166"/>
    </row>
    <row r="533" spans="1:11">
      <c r="A533" s="156" t="s">
        <v>1075</v>
      </c>
      <c r="B533" t="s">
        <v>925</v>
      </c>
      <c r="C533" t="s">
        <v>928</v>
      </c>
      <c r="K533" s="166"/>
    </row>
    <row r="534" spans="1:11">
      <c r="A534" s="156"/>
      <c r="K534" s="166"/>
    </row>
    <row r="535" spans="1:11">
      <c r="A535" s="156"/>
      <c r="K535" s="166"/>
    </row>
    <row r="536" spans="1:11">
      <c r="A536" s="156"/>
      <c r="K536" s="166"/>
    </row>
    <row r="537" spans="1:11">
      <c r="A537" s="156"/>
      <c r="K537" s="166"/>
    </row>
    <row r="538" spans="1:11">
      <c r="A538" s="233" t="s">
        <v>1079</v>
      </c>
      <c r="K538" s="166"/>
    </row>
    <row r="539" spans="1:11">
      <c r="A539" s="156" t="s">
        <v>878</v>
      </c>
      <c r="B539" t="s">
        <v>879</v>
      </c>
      <c r="C539" t="s">
        <v>880</v>
      </c>
      <c r="D539" t="s">
        <v>881</v>
      </c>
      <c r="K539" s="166"/>
    </row>
    <row r="540" spans="1:11">
      <c r="A540" s="156" t="s">
        <v>882</v>
      </c>
      <c r="B540">
        <v>547</v>
      </c>
      <c r="C540" t="s">
        <v>930</v>
      </c>
      <c r="D540" t="s">
        <v>884</v>
      </c>
      <c r="K540" s="166"/>
    </row>
    <row r="541" spans="1:11">
      <c r="A541" s="156"/>
      <c r="K541" s="166"/>
    </row>
    <row r="542" spans="1:11">
      <c r="A542" s="156"/>
      <c r="K542" s="166"/>
    </row>
    <row r="543" spans="1:11">
      <c r="A543" s="156"/>
      <c r="K543" s="166"/>
    </row>
    <row r="544" spans="1:11">
      <c r="A544" s="156"/>
      <c r="K544" s="166"/>
    </row>
    <row r="545" spans="1:11">
      <c r="A545" s="156"/>
      <c r="K545" s="166"/>
    </row>
    <row r="546" spans="1:11">
      <c r="A546" s="198" t="s">
        <v>1081</v>
      </c>
      <c r="K546" s="166"/>
    </row>
    <row r="547" spans="1:11">
      <c r="A547" s="198" t="str">
        <f>"=?????????????????????*"</f>
        <v>=?????????????????????*</v>
      </c>
      <c r="K547" s="166"/>
    </row>
    <row r="548" spans="1:11">
      <c r="A548" s="198" t="s">
        <v>1080</v>
      </c>
      <c r="K548" s="166"/>
    </row>
    <row r="549" spans="1:11">
      <c r="A549" s="156"/>
      <c r="K549" s="166"/>
    </row>
    <row r="550" spans="1:11">
      <c r="A550" s="156" t="s">
        <v>1081</v>
      </c>
      <c r="B550" t="s">
        <v>925</v>
      </c>
      <c r="C550" t="s">
        <v>928</v>
      </c>
      <c r="K550" s="166"/>
    </row>
    <row r="551" spans="1:11">
      <c r="A551" s="156"/>
      <c r="K551" s="166"/>
    </row>
    <row r="552" spans="1:11">
      <c r="A552" s="156"/>
      <c r="K552" s="166"/>
    </row>
    <row r="553" spans="1:11">
      <c r="A553" s="156"/>
      <c r="K553" s="166"/>
    </row>
    <row r="554" spans="1:11">
      <c r="A554" s="156"/>
      <c r="K554" s="166"/>
    </row>
    <row r="555" spans="1:11">
      <c r="A555" s="156"/>
      <c r="K555" s="166"/>
    </row>
    <row r="556" spans="1:11">
      <c r="A556" s="156"/>
      <c r="K556" s="166"/>
    </row>
    <row r="557" spans="1:11">
      <c r="A557" s="156"/>
      <c r="K557" s="166"/>
    </row>
    <row r="558" spans="1:11">
      <c r="A558" s="156"/>
      <c r="K558" s="166"/>
    </row>
    <row r="559" spans="1:11">
      <c r="A559" s="156"/>
      <c r="K559" s="166"/>
    </row>
    <row r="560" spans="1:11">
      <c r="A560" s="156"/>
      <c r="K560" s="166"/>
    </row>
    <row r="561" spans="1:11">
      <c r="A561" s="156"/>
      <c r="K561" s="166"/>
    </row>
    <row r="562" spans="1:11">
      <c r="A562" s="156"/>
      <c r="K562" s="166"/>
    </row>
    <row r="563" spans="1:11">
      <c r="A563" s="156"/>
      <c r="K563" s="166"/>
    </row>
    <row r="564" spans="1:11">
      <c r="A564" s="156"/>
      <c r="K564" s="166"/>
    </row>
    <row r="565" spans="1:11">
      <c r="A565" s="156"/>
      <c r="K565" s="166"/>
    </row>
    <row r="566" spans="1:11">
      <c r="A566" s="156"/>
      <c r="K566" s="166"/>
    </row>
    <row r="567" spans="1:11">
      <c r="A567" s="156"/>
      <c r="K567" s="166"/>
    </row>
    <row r="568" spans="1:11">
      <c r="A568" s="156"/>
      <c r="K568" s="166"/>
    </row>
    <row r="569" spans="1:11">
      <c r="A569" s="156"/>
      <c r="K569" s="166"/>
    </row>
    <row r="570" spans="1:11">
      <c r="A570" s="156"/>
      <c r="K570" s="166"/>
    </row>
    <row r="571" spans="1:11">
      <c r="A571" s="156"/>
      <c r="K571" s="166"/>
    </row>
    <row r="572" spans="1:11">
      <c r="A572" s="156"/>
      <c r="K572" s="166"/>
    </row>
    <row r="573" spans="1:11">
      <c r="A573" s="156"/>
      <c r="K573" s="166"/>
    </row>
    <row r="574" spans="1:11">
      <c r="A574" s="156"/>
      <c r="K574" s="166"/>
    </row>
    <row r="575" spans="1:11">
      <c r="A575" s="156"/>
      <c r="K575" s="166"/>
    </row>
    <row r="576" spans="1:11">
      <c r="A576" s="156"/>
      <c r="K576" s="166"/>
    </row>
    <row r="577" spans="1:11">
      <c r="A577" s="156"/>
      <c r="K577" s="166"/>
    </row>
    <row r="578" spans="1:11">
      <c r="A578" s="156"/>
      <c r="K578" s="166"/>
    </row>
    <row r="579" spans="1:11">
      <c r="A579" s="156"/>
      <c r="K579" s="166"/>
    </row>
    <row r="580" spans="1:11">
      <c r="A580" s="156"/>
      <c r="K580" s="166"/>
    </row>
    <row r="581" spans="1:11">
      <c r="A581" s="156"/>
      <c r="K581" s="166"/>
    </row>
    <row r="582" spans="1:11">
      <c r="A582" s="156"/>
      <c r="K582" s="166"/>
    </row>
    <row r="583" spans="1:11">
      <c r="A583" s="156"/>
      <c r="K583" s="166"/>
    </row>
    <row r="584" spans="1:11">
      <c r="A584" s="156"/>
      <c r="K584" s="166"/>
    </row>
    <row r="585" spans="1:11">
      <c r="A585" s="156"/>
      <c r="K585" s="166"/>
    </row>
    <row r="586" spans="1:11">
      <c r="A586" s="156"/>
      <c r="K586" s="166"/>
    </row>
    <row r="587" spans="1:11">
      <c r="A587" s="156"/>
      <c r="K587" s="166"/>
    </row>
    <row r="588" spans="1:11">
      <c r="A588" s="156"/>
      <c r="K588" s="166"/>
    </row>
    <row r="589" spans="1:11">
      <c r="A589" s="156"/>
      <c r="K589" s="166"/>
    </row>
    <row r="590" spans="1:11">
      <c r="A590" s="156"/>
      <c r="K590" s="166"/>
    </row>
    <row r="591" spans="1:11">
      <c r="A591" s="156"/>
      <c r="K591" s="166"/>
    </row>
    <row r="592" spans="1:11">
      <c r="A592" s="156"/>
      <c r="K592" s="166"/>
    </row>
    <row r="593" spans="1:11">
      <c r="A593" s="156"/>
      <c r="K593" s="166"/>
    </row>
    <row r="594" spans="1:11">
      <c r="A594" s="156"/>
      <c r="K594" s="166"/>
    </row>
    <row r="595" spans="1:11">
      <c r="A595" s="156"/>
      <c r="K595" s="166"/>
    </row>
    <row r="596" spans="1:11">
      <c r="A596" s="156"/>
      <c r="K596" s="166"/>
    </row>
    <row r="597" spans="1:11">
      <c r="A597" s="156"/>
      <c r="K597" s="166"/>
    </row>
    <row r="598" spans="1:11">
      <c r="A598" s="156"/>
      <c r="K598" s="166"/>
    </row>
    <row r="599" spans="1:11">
      <c r="A599" s="156"/>
      <c r="K599" s="166"/>
    </row>
    <row r="600" spans="1:11">
      <c r="A600" s="156"/>
      <c r="K600" s="166"/>
    </row>
    <row r="601" spans="1:11">
      <c r="A601" s="156"/>
      <c r="K601" s="166"/>
    </row>
    <row r="602" spans="1:11">
      <c r="A602" s="156"/>
      <c r="K602" s="166"/>
    </row>
    <row r="603" spans="1:11">
      <c r="A603" s="156"/>
      <c r="K603" s="166"/>
    </row>
    <row r="604" spans="1:11">
      <c r="A604" s="156"/>
      <c r="K604" s="166"/>
    </row>
    <row r="605" spans="1:11">
      <c r="A605" s="156"/>
      <c r="K605" s="166"/>
    </row>
    <row r="606" spans="1:11">
      <c r="A606" s="156"/>
      <c r="K606" s="166"/>
    </row>
    <row r="607" spans="1:11">
      <c r="A607" s="167"/>
      <c r="B607" s="158"/>
      <c r="C607" s="158"/>
      <c r="D607" s="158"/>
      <c r="E607" s="158"/>
      <c r="F607" s="158"/>
      <c r="G607" s="158"/>
      <c r="H607" s="158"/>
      <c r="I607" s="158"/>
      <c r="J607" s="158"/>
      <c r="K607" s="168"/>
    </row>
    <row r="610" spans="1:11">
      <c r="A610" s="195"/>
      <c r="B610" s="196"/>
      <c r="C610" s="196"/>
      <c r="D610" s="196"/>
      <c r="E610" s="196"/>
      <c r="F610" s="196"/>
      <c r="G610" s="196"/>
      <c r="H610" s="196"/>
      <c r="I610" s="196"/>
      <c r="J610" s="196"/>
      <c r="K610" s="197"/>
    </row>
    <row r="611" spans="1:11">
      <c r="A611" s="233" t="s">
        <v>1123</v>
      </c>
      <c r="K611" s="166"/>
    </row>
    <row r="612" spans="1:11">
      <c r="A612" s="156" t="s">
        <v>878</v>
      </c>
      <c r="B612" t="s">
        <v>879</v>
      </c>
      <c r="C612" t="s">
        <v>880</v>
      </c>
      <c r="D612" t="s">
        <v>881</v>
      </c>
      <c r="K612" s="166"/>
    </row>
    <row r="613" spans="1:11">
      <c r="A613" s="156" t="s">
        <v>882</v>
      </c>
      <c r="B613">
        <v>622</v>
      </c>
      <c r="C613" t="s">
        <v>883</v>
      </c>
      <c r="D613" t="s">
        <v>884</v>
      </c>
      <c r="K613" s="166"/>
    </row>
    <row r="614" spans="1:11">
      <c r="A614" s="156" t="s">
        <v>885</v>
      </c>
      <c r="B614">
        <v>626</v>
      </c>
      <c r="C614" t="s">
        <v>931</v>
      </c>
      <c r="D614" t="s">
        <v>887</v>
      </c>
      <c r="K614" s="166"/>
    </row>
    <row r="615" spans="1:11">
      <c r="A615" s="156" t="s">
        <v>888</v>
      </c>
      <c r="B615">
        <v>630</v>
      </c>
      <c r="C615" t="s">
        <v>1052</v>
      </c>
      <c r="D615" t="s">
        <v>1045</v>
      </c>
      <c r="K615" s="166"/>
    </row>
    <row r="616" spans="1:11">
      <c r="A616" s="156" t="s">
        <v>891</v>
      </c>
      <c r="B616">
        <v>634</v>
      </c>
      <c r="C616" t="s">
        <v>1053</v>
      </c>
      <c r="D616" t="s">
        <v>1063</v>
      </c>
      <c r="K616" s="166"/>
    </row>
    <row r="617" spans="1:11">
      <c r="A617" s="156" t="s">
        <v>894</v>
      </c>
      <c r="B617">
        <v>638</v>
      </c>
      <c r="C617" t="s">
        <v>1054</v>
      </c>
      <c r="D617" t="s">
        <v>1050</v>
      </c>
      <c r="K617" s="166"/>
    </row>
    <row r="618" spans="1:11">
      <c r="A618" s="156"/>
      <c r="K618" s="166"/>
    </row>
    <row r="619" spans="1:11">
      <c r="A619" s="156"/>
      <c r="K619" s="166"/>
    </row>
    <row r="620" spans="1:11">
      <c r="A620" s="156"/>
      <c r="K620" s="166"/>
    </row>
    <row r="621" spans="1:11">
      <c r="A621" s="156" t="s">
        <v>905</v>
      </c>
      <c r="B621" t="s">
        <v>905</v>
      </c>
      <c r="K621" s="166"/>
    </row>
    <row r="622" spans="1:11">
      <c r="A622" s="156" t="s">
        <v>1120</v>
      </c>
      <c r="B622" t="s">
        <v>1121</v>
      </c>
      <c r="K622" s="166"/>
    </row>
    <row r="623" spans="1:11">
      <c r="A623" s="198" t="s">
        <v>1122</v>
      </c>
      <c r="K623" s="166"/>
    </row>
    <row r="624" spans="1:11">
      <c r="A624" s="156"/>
      <c r="K624" s="166"/>
    </row>
    <row r="625" spans="1:11">
      <c r="A625" s="198" t="s">
        <v>470</v>
      </c>
      <c r="K625" s="166"/>
    </row>
    <row r="626" spans="1:11">
      <c r="A626" s="198" t="str">
        <f>"=???????????????????????????????????????????????????*"</f>
        <v>=???????????????????????????????????????????????????*</v>
      </c>
      <c r="K626" s="166"/>
    </row>
    <row r="627" spans="1:11">
      <c r="A627" s="198" t="s">
        <v>1118</v>
      </c>
      <c r="K627" s="166"/>
    </row>
    <row r="628" spans="1:11">
      <c r="A628" s="198"/>
      <c r="K628" s="166"/>
    </row>
    <row r="629" spans="1:11">
      <c r="A629" s="198" t="s">
        <v>1117</v>
      </c>
      <c r="K629" s="166"/>
    </row>
    <row r="630" spans="1:11">
      <c r="A630" s="198" t="str">
        <f>"=?????????????????????*"</f>
        <v>=?????????????????????*</v>
      </c>
      <c r="K630" s="166"/>
    </row>
    <row r="631" spans="1:11">
      <c r="A631" s="198" t="s">
        <v>1119</v>
      </c>
      <c r="K631" s="166"/>
    </row>
    <row r="632" spans="1:11">
      <c r="A632" s="198"/>
      <c r="K632" s="166"/>
    </row>
    <row r="633" spans="1:11">
      <c r="A633" s="198" t="s">
        <v>925</v>
      </c>
      <c r="K633" s="166"/>
    </row>
    <row r="634" spans="1:11">
      <c r="A634" s="198" t="s">
        <v>906</v>
      </c>
      <c r="K634" s="166"/>
    </row>
    <row r="635" spans="1:11">
      <c r="A635" s="198" t="s">
        <v>1124</v>
      </c>
      <c r="K635" s="166"/>
    </row>
    <row r="636" spans="1:11">
      <c r="A636" s="198"/>
      <c r="K636" s="166"/>
    </row>
    <row r="637" spans="1:11">
      <c r="A637" s="198" t="s">
        <v>928</v>
      </c>
      <c r="K637" s="166"/>
    </row>
    <row r="638" spans="1:11">
      <c r="A638" s="198" t="s">
        <v>906</v>
      </c>
      <c r="K638" s="166"/>
    </row>
    <row r="639" spans="1:11">
      <c r="A639" s="198" t="s">
        <v>1125</v>
      </c>
      <c r="K639" s="166"/>
    </row>
    <row r="640" spans="1:11">
      <c r="A640" s="156"/>
      <c r="K640" s="166"/>
    </row>
    <row r="641" spans="1:11">
      <c r="A641" s="156"/>
      <c r="K641" s="166"/>
    </row>
    <row r="642" spans="1:11">
      <c r="A642" s="156"/>
      <c r="K642" s="166"/>
    </row>
    <row r="643" spans="1:11">
      <c r="A643" s="156" t="s">
        <v>905</v>
      </c>
      <c r="B643" t="s">
        <v>470</v>
      </c>
      <c r="C643" t="s">
        <v>1117</v>
      </c>
      <c r="D643" t="s">
        <v>925</v>
      </c>
      <c r="E643" t="s">
        <v>928</v>
      </c>
      <c r="K643" s="166"/>
    </row>
    <row r="644" spans="1:11">
      <c r="A644" s="156"/>
      <c r="K644" s="166"/>
    </row>
    <row r="645" spans="1:11">
      <c r="A645" s="156"/>
      <c r="K645" s="166"/>
    </row>
    <row r="646" spans="1:11">
      <c r="A646" s="156"/>
      <c r="K646" s="166"/>
    </row>
    <row r="647" spans="1:11">
      <c r="A647" s="156"/>
      <c r="K647" s="166"/>
    </row>
    <row r="648" spans="1:11">
      <c r="A648" s="156"/>
      <c r="K648" s="166"/>
    </row>
    <row r="649" spans="1:11">
      <c r="A649" s="156"/>
      <c r="K649" s="166"/>
    </row>
    <row r="650" spans="1:11">
      <c r="A650" s="156"/>
      <c r="K650" s="166"/>
    </row>
    <row r="651" spans="1:11">
      <c r="A651" s="156"/>
      <c r="K651" s="166"/>
    </row>
    <row r="652" spans="1:11">
      <c r="A652" s="153" t="s">
        <v>1034</v>
      </c>
      <c r="B652" s="196"/>
      <c r="C652" s="196"/>
      <c r="D652" s="196"/>
      <c r="E652" s="196"/>
      <c r="F652" s="196"/>
      <c r="G652" s="196"/>
      <c r="H652" s="196"/>
      <c r="I652" s="196"/>
      <c r="J652" s="196"/>
      <c r="K652" s="197"/>
    </row>
    <row r="653" spans="1:11">
      <c r="A653" s="156" t="s">
        <v>878</v>
      </c>
      <c r="B653" t="s">
        <v>879</v>
      </c>
      <c r="C653" t="s">
        <v>880</v>
      </c>
      <c r="D653" t="s">
        <v>881</v>
      </c>
      <c r="K653" s="166"/>
    </row>
    <row r="654" spans="1:11">
      <c r="A654" s="156" t="s">
        <v>882</v>
      </c>
      <c r="B654">
        <v>668</v>
      </c>
      <c r="C654" t="s">
        <v>1185</v>
      </c>
      <c r="D654" t="s">
        <v>948</v>
      </c>
      <c r="K654" s="166"/>
    </row>
    <row r="655" spans="1:11">
      <c r="A655" s="156" t="s">
        <v>885</v>
      </c>
      <c r="B655">
        <v>672</v>
      </c>
      <c r="C655" t="s">
        <v>931</v>
      </c>
      <c r="D655" t="s">
        <v>887</v>
      </c>
      <c r="K655" s="166"/>
    </row>
    <row r="656" spans="1:11">
      <c r="A656" s="156" t="s">
        <v>888</v>
      </c>
      <c r="B656">
        <v>676</v>
      </c>
      <c r="C656" t="s">
        <v>1052</v>
      </c>
      <c r="D656" t="s">
        <v>1045</v>
      </c>
      <c r="K656" s="166"/>
    </row>
    <row r="657" spans="1:11">
      <c r="A657" s="156" t="s">
        <v>891</v>
      </c>
      <c r="B657">
        <v>680</v>
      </c>
      <c r="C657" t="s">
        <v>1053</v>
      </c>
      <c r="D657" t="s">
        <v>1050</v>
      </c>
      <c r="K657" s="166"/>
    </row>
    <row r="658" spans="1:11">
      <c r="A658" s="156" t="s">
        <v>894</v>
      </c>
      <c r="B658">
        <v>684</v>
      </c>
      <c r="C658" t="s">
        <v>1054</v>
      </c>
      <c r="D658" t="s">
        <v>932</v>
      </c>
      <c r="K658" s="166"/>
    </row>
    <row r="659" spans="1:11">
      <c r="A659" s="156" t="s">
        <v>896</v>
      </c>
      <c r="B659">
        <v>688</v>
      </c>
      <c r="C659" t="s">
        <v>897</v>
      </c>
      <c r="D659" t="s">
        <v>1051</v>
      </c>
      <c r="K659" s="166"/>
    </row>
    <row r="660" spans="1:11">
      <c r="A660" s="156" t="s">
        <v>898</v>
      </c>
      <c r="B660">
        <v>692</v>
      </c>
      <c r="C660" t="s">
        <v>899</v>
      </c>
      <c r="D660" t="s">
        <v>890</v>
      </c>
      <c r="K660" s="166"/>
    </row>
    <row r="661" spans="1:11">
      <c r="A661" s="156" t="s">
        <v>900</v>
      </c>
      <c r="B661">
        <v>696</v>
      </c>
      <c r="C661" t="s">
        <v>1186</v>
      </c>
      <c r="D661" t="s">
        <v>933</v>
      </c>
      <c r="K661" s="166"/>
    </row>
    <row r="662" spans="1:11">
      <c r="A662" s="156" t="s">
        <v>949</v>
      </c>
      <c r="B662">
        <v>700</v>
      </c>
      <c r="C662" t="s">
        <v>950</v>
      </c>
      <c r="D662" t="s">
        <v>893</v>
      </c>
      <c r="K662" s="166"/>
    </row>
    <row r="663" spans="1:11">
      <c r="A663" s="156" t="s">
        <v>951</v>
      </c>
      <c r="B663">
        <v>704</v>
      </c>
      <c r="C663" t="s">
        <v>952</v>
      </c>
      <c r="D663" t="s">
        <v>890</v>
      </c>
      <c r="K663" s="166"/>
    </row>
    <row r="664" spans="1:11">
      <c r="A664" s="156" t="s">
        <v>1046</v>
      </c>
      <c r="B664">
        <v>708</v>
      </c>
      <c r="C664" t="s">
        <v>1187</v>
      </c>
      <c r="D664" t="s">
        <v>933</v>
      </c>
      <c r="K664" s="166"/>
    </row>
    <row r="665" spans="1:11">
      <c r="A665" s="156" t="s">
        <v>1058</v>
      </c>
      <c r="B665">
        <v>712</v>
      </c>
      <c r="C665" t="s">
        <v>1188</v>
      </c>
      <c r="D665" t="s">
        <v>893</v>
      </c>
      <c r="K665" s="166"/>
    </row>
    <row r="666" spans="1:11">
      <c r="A666" s="156"/>
      <c r="K666" s="166"/>
    </row>
    <row r="667" spans="1:11">
      <c r="A667" s="156" t="s">
        <v>908</v>
      </c>
      <c r="B667" t="s">
        <v>908</v>
      </c>
      <c r="C667" t="s">
        <v>908</v>
      </c>
      <c r="D667" t="s">
        <v>908</v>
      </c>
      <c r="E667" t="s">
        <v>908</v>
      </c>
      <c r="K667" s="166"/>
    </row>
    <row r="668" spans="1:11">
      <c r="A668" s="156" t="s">
        <v>916</v>
      </c>
      <c r="B668" t="s">
        <v>917</v>
      </c>
      <c r="C668" t="s">
        <v>919</v>
      </c>
      <c r="D668" t="s">
        <v>920</v>
      </c>
      <c r="E668" t="s">
        <v>921</v>
      </c>
      <c r="K668" s="166"/>
    </row>
    <row r="669" spans="1:11">
      <c r="A669" s="198" t="s">
        <v>1035</v>
      </c>
      <c r="K669" s="166"/>
    </row>
    <row r="670" spans="1:11">
      <c r="A670" s="198"/>
      <c r="K670" s="166"/>
    </row>
    <row r="671" spans="1:11">
      <c r="A671" s="198" t="s">
        <v>470</v>
      </c>
      <c r="K671" s="166"/>
    </row>
    <row r="672" spans="1:11">
      <c r="A672" s="198" t="str">
        <f>"=???????????????????????????????????????????????????*"</f>
        <v>=???????????????????????????????????????????????????*</v>
      </c>
      <c r="K672" s="166"/>
    </row>
    <row r="673" spans="1:11">
      <c r="A673" s="198" t="s">
        <v>1044</v>
      </c>
      <c r="K673" s="166"/>
    </row>
    <row r="674" spans="1:11">
      <c r="A674" s="198"/>
      <c r="K674" s="166"/>
    </row>
    <row r="675" spans="1:11">
      <c r="A675" s="198" t="s">
        <v>924</v>
      </c>
      <c r="K675" s="166"/>
    </row>
    <row r="676" spans="1:11">
      <c r="A676" s="198" t="str">
        <f>"=?????????????????????*"</f>
        <v>=?????????????????????*</v>
      </c>
      <c r="K676" s="166"/>
    </row>
    <row r="677" spans="1:11">
      <c r="A677" s="198" t="s">
        <v>1049</v>
      </c>
      <c r="K677" s="166"/>
    </row>
    <row r="678" spans="1:11">
      <c r="A678" s="198"/>
      <c r="K678" s="166"/>
    </row>
    <row r="679" spans="1:11">
      <c r="A679" s="198" t="s">
        <v>926</v>
      </c>
      <c r="K679" s="166"/>
    </row>
    <row r="680" spans="1:11">
      <c r="A680" s="198" t="str">
        <f>"=?????????????????????????????????????????*"</f>
        <v>=?????????????????????????????????????????*</v>
      </c>
      <c r="K680" s="166"/>
    </row>
    <row r="681" spans="1:11">
      <c r="A681" s="198" t="s">
        <v>1216</v>
      </c>
      <c r="K681" s="166"/>
    </row>
    <row r="682" spans="1:11">
      <c r="A682" s="198"/>
      <c r="K682" s="166"/>
    </row>
    <row r="683" spans="1:11">
      <c r="A683" s="198" t="s">
        <v>927</v>
      </c>
      <c r="K683" s="166"/>
    </row>
    <row r="684" spans="1:11">
      <c r="A684" s="198" t="str">
        <f>"=?????????????????????????????????????????????????????????????????????????????????????????????????????????????????????????????????????????????????????????????????????????????????????????????????????????*"</f>
        <v>=?????????????????????????????????????????????????????????????????????????????????????????????????????????????????????????????????????????????????????????????????????????????????????????????????????????*</v>
      </c>
      <c r="K684" s="166"/>
    </row>
    <row r="685" spans="1:11">
      <c r="A685" s="198" t="s">
        <v>1057</v>
      </c>
      <c r="K685" s="166"/>
    </row>
    <row r="686" spans="1:11">
      <c r="A686" s="198"/>
      <c r="K686" s="166"/>
    </row>
    <row r="687" spans="1:11">
      <c r="A687" s="156" t="s">
        <v>158</v>
      </c>
      <c r="B687" s="156" t="s">
        <v>158</v>
      </c>
      <c r="K687" s="166"/>
    </row>
    <row r="688" spans="1:11">
      <c r="A688" s="156" t="s">
        <v>1182</v>
      </c>
      <c r="B688" s="156" t="s">
        <v>1183</v>
      </c>
      <c r="K688" s="166"/>
    </row>
    <row r="689" spans="1:12">
      <c r="A689" s="198" t="s">
        <v>1189</v>
      </c>
      <c r="K689" s="166"/>
    </row>
    <row r="690" spans="1:12">
      <c r="A690" s="198"/>
      <c r="K690" s="166"/>
    </row>
    <row r="691" spans="1:12">
      <c r="A691" s="156" t="s">
        <v>158</v>
      </c>
      <c r="B691" t="s">
        <v>1036</v>
      </c>
      <c r="K691" s="166"/>
    </row>
    <row r="692" spans="1:12">
      <c r="A692" s="156" t="str">
        <f>"=Services"</f>
        <v>=Services</v>
      </c>
      <c r="B692" t="s">
        <v>909</v>
      </c>
      <c r="K692" s="166"/>
    </row>
    <row r="693" spans="1:12">
      <c r="A693" s="156" t="s">
        <v>1190</v>
      </c>
      <c r="K693" s="166"/>
    </row>
    <row r="694" spans="1:12">
      <c r="A694" s="198"/>
      <c r="K694" s="166"/>
    </row>
    <row r="695" spans="1:12">
      <c r="A695" s="156" t="s">
        <v>158</v>
      </c>
      <c r="B695" s="198" t="s">
        <v>1038</v>
      </c>
      <c r="K695" s="166"/>
    </row>
    <row r="696" spans="1:12">
      <c r="A696" s="156" t="str">
        <f>"=Services"</f>
        <v>=Services</v>
      </c>
      <c r="B696" s="198" t="s">
        <v>909</v>
      </c>
      <c r="K696" s="166"/>
      <c r="L696" s="156"/>
    </row>
    <row r="697" spans="1:12">
      <c r="A697" s="156" t="s">
        <v>1191</v>
      </c>
      <c r="K697" s="166"/>
      <c r="L697" s="156"/>
    </row>
    <row r="698" spans="1:12">
      <c r="A698" s="198"/>
      <c r="K698" s="166"/>
      <c r="L698" s="156"/>
    </row>
    <row r="699" spans="1:12">
      <c r="A699" s="156" t="s">
        <v>158</v>
      </c>
      <c r="B699" s="198" t="s">
        <v>1037</v>
      </c>
      <c r="K699" s="166"/>
    </row>
    <row r="700" spans="1:12">
      <c r="A700" s="156" t="str">
        <f>"=Services"</f>
        <v>=Services</v>
      </c>
      <c r="B700" s="198" t="s">
        <v>909</v>
      </c>
      <c r="K700" s="166"/>
    </row>
    <row r="701" spans="1:12">
      <c r="A701" s="156" t="s">
        <v>1192</v>
      </c>
      <c r="K701" s="166"/>
    </row>
    <row r="703" spans="1:12">
      <c r="A703" s="156" t="s">
        <v>158</v>
      </c>
      <c r="B703" t="s">
        <v>1036</v>
      </c>
    </row>
    <row r="704" spans="1:12">
      <c r="A704" s="156" t="str">
        <f>"=Goods"</f>
        <v>=Goods</v>
      </c>
      <c r="B704" t="s">
        <v>906</v>
      </c>
    </row>
    <row r="705" spans="1:12">
      <c r="A705" s="156" t="s">
        <v>1193</v>
      </c>
    </row>
    <row r="706" spans="1:12">
      <c r="A706" s="198"/>
      <c r="K706" s="166"/>
    </row>
    <row r="707" spans="1:12">
      <c r="A707" s="156" t="s">
        <v>158</v>
      </c>
      <c r="B707" s="198" t="s">
        <v>1038</v>
      </c>
      <c r="K707" s="166"/>
    </row>
    <row r="708" spans="1:12">
      <c r="A708" s="156" t="str">
        <f>"=Goods"</f>
        <v>=Goods</v>
      </c>
      <c r="B708" s="198" t="s">
        <v>906</v>
      </c>
      <c r="K708" s="166"/>
    </row>
    <row r="709" spans="1:12">
      <c r="A709" s="156" t="s">
        <v>1194</v>
      </c>
      <c r="K709" s="166"/>
    </row>
    <row r="710" spans="1:12">
      <c r="A710" s="198"/>
    </row>
    <row r="711" spans="1:12">
      <c r="A711" s="156" t="s">
        <v>158</v>
      </c>
      <c r="B711" s="198" t="s">
        <v>1037</v>
      </c>
    </row>
    <row r="712" spans="1:12">
      <c r="A712" s="156" t="str">
        <f>"=Goods"</f>
        <v>=Goods</v>
      </c>
      <c r="B712" s="198" t="s">
        <v>906</v>
      </c>
    </row>
    <row r="713" spans="1:12">
      <c r="A713" s="156" t="s">
        <v>1195</v>
      </c>
    </row>
    <row r="716" spans="1:12">
      <c r="A716" s="156" t="s">
        <v>905</v>
      </c>
      <c r="B716" t="s">
        <v>470</v>
      </c>
      <c r="C716" t="s">
        <v>924</v>
      </c>
      <c r="D716" t="s">
        <v>925</v>
      </c>
      <c r="E716" t="s">
        <v>926</v>
      </c>
      <c r="F716" t="s">
        <v>158</v>
      </c>
      <c r="G716" t="s">
        <v>927</v>
      </c>
      <c r="H716" t="s">
        <v>1036</v>
      </c>
      <c r="I716" t="s">
        <v>1037</v>
      </c>
      <c r="J716" t="s">
        <v>1038</v>
      </c>
      <c r="K716" t="s">
        <v>908</v>
      </c>
      <c r="L716" s="166" t="s">
        <v>928</v>
      </c>
    </row>
  </sheetData>
  <sheetProtection password="94AB" sheet="1" objects="1" scenarios="1"/>
  <pageMargins left="0.7" right="0.7" top="0.75" bottom="0.75" header="0.51180555555555551" footer="0.51180555555555551"/>
  <pageSetup firstPageNumber="0" orientation="portrait" horizontalDpi="300" verticalDpi="300" r:id="rId1"/>
  <headerFooter alignWithMargins="0"/>
</worksheet>
</file>

<file path=xl/worksheets/sheet7.xml><?xml version="1.0" encoding="utf-8"?>
<worksheet xmlns="http://schemas.openxmlformats.org/spreadsheetml/2006/main" xmlns:r="http://schemas.openxmlformats.org/officeDocument/2006/relationships">
  <sheetPr codeName="Sheet22"/>
  <dimension ref="A1:H25"/>
  <sheetViews>
    <sheetView tabSelected="1" workbookViewId="0">
      <selection activeCell="D7" sqref="D7"/>
    </sheetView>
  </sheetViews>
  <sheetFormatPr defaultColWidth="0" defaultRowHeight="15" customHeight="1" zeroHeight="1"/>
  <cols>
    <col min="1" max="1" width="9.140625" style="254" customWidth="1"/>
    <col min="2" max="2" width="24.5703125" customWidth="1"/>
    <col min="3" max="3" width="8.85546875" customWidth="1"/>
    <col min="4" max="4" width="114.5703125" customWidth="1"/>
    <col min="5" max="8" width="9.140625" style="254" customWidth="1"/>
  </cols>
  <sheetData>
    <row r="1" spans="1:8" ht="13.5" customHeight="1">
      <c r="A1" s="306"/>
      <c r="B1" s="307" t="s">
        <v>1150</v>
      </c>
      <c r="C1" s="308"/>
      <c r="D1" s="308"/>
      <c r="E1" s="306"/>
      <c r="F1" s="306"/>
      <c r="G1" s="306"/>
      <c r="H1" s="306"/>
    </row>
    <row r="2" spans="1:8" ht="14.25" customHeight="1">
      <c r="A2" s="306"/>
      <c r="B2" s="308"/>
      <c r="C2" s="308"/>
      <c r="D2" s="308"/>
      <c r="E2" s="306"/>
      <c r="F2" s="306"/>
      <c r="G2" s="306"/>
      <c r="H2" s="306"/>
    </row>
    <row r="3" spans="1:8" s="255" customFormat="1" ht="12" customHeight="1">
      <c r="A3" s="306"/>
      <c r="B3" s="308"/>
      <c r="C3" s="308"/>
      <c r="D3" s="308"/>
      <c r="E3" s="306"/>
      <c r="F3" s="306"/>
      <c r="G3" s="306"/>
      <c r="H3" s="306"/>
    </row>
    <row r="4" spans="1:8" s="255" customFormat="1" ht="16.5">
      <c r="A4" s="306"/>
      <c r="B4" s="309" t="s">
        <v>1151</v>
      </c>
      <c r="C4" s="309"/>
      <c r="D4" s="309"/>
      <c r="E4" s="306"/>
      <c r="F4" s="306"/>
      <c r="G4" s="306"/>
      <c r="H4" s="306"/>
    </row>
    <row r="5" spans="1:8" s="255" customFormat="1" ht="16.5">
      <c r="A5" s="306"/>
      <c r="B5" s="256" t="s">
        <v>1</v>
      </c>
      <c r="C5" s="10"/>
      <c r="D5" s="11"/>
      <c r="E5" s="306"/>
      <c r="F5" s="306"/>
      <c r="G5" s="306"/>
      <c r="H5" s="306"/>
    </row>
    <row r="6" spans="1:8" s="255" customFormat="1" ht="16.5">
      <c r="A6" s="306"/>
      <c r="B6" s="9"/>
      <c r="C6" s="12">
        <v>1</v>
      </c>
      <c r="D6" s="12" t="s">
        <v>1152</v>
      </c>
      <c r="E6" s="306"/>
      <c r="F6" s="306"/>
      <c r="G6" s="306"/>
      <c r="H6" s="306"/>
    </row>
    <row r="7" spans="1:8" s="255" customFormat="1" ht="15.75">
      <c r="A7" s="306"/>
      <c r="B7" s="9"/>
      <c r="C7" s="12">
        <v>2</v>
      </c>
      <c r="D7" s="12" t="s">
        <v>4</v>
      </c>
      <c r="E7" s="306"/>
      <c r="F7" s="306"/>
      <c r="G7" s="306"/>
      <c r="H7" s="306"/>
    </row>
    <row r="8" spans="1:8" s="255" customFormat="1" ht="15.75">
      <c r="A8" s="306"/>
      <c r="B8" s="9"/>
      <c r="C8" s="12">
        <v>3</v>
      </c>
      <c r="D8" s="12" t="s">
        <v>5</v>
      </c>
      <c r="E8" s="306"/>
      <c r="F8" s="306"/>
      <c r="G8" s="306"/>
      <c r="H8" s="306"/>
    </row>
    <row r="9" spans="1:8" ht="15.75">
      <c r="A9" s="306"/>
      <c r="B9" s="9"/>
      <c r="C9" s="12">
        <v>4</v>
      </c>
      <c r="D9" s="12" t="s">
        <v>6</v>
      </c>
      <c r="E9" s="306"/>
      <c r="F9" s="306"/>
      <c r="G9" s="306"/>
      <c r="H9" s="306"/>
    </row>
    <row r="10" spans="1:8" ht="5.25" customHeight="1">
      <c r="A10" s="306"/>
      <c r="B10" s="9"/>
      <c r="C10" s="10"/>
      <c r="D10" s="11"/>
      <c r="E10" s="306"/>
      <c r="F10" s="306"/>
      <c r="G10" s="306"/>
      <c r="H10" s="306"/>
    </row>
    <row r="11" spans="1:8" ht="16.5">
      <c r="A11" s="306"/>
      <c r="B11" s="256" t="s">
        <v>7</v>
      </c>
      <c r="C11" s="10"/>
      <c r="D11" s="11"/>
      <c r="E11" s="306"/>
      <c r="F11" s="306"/>
      <c r="G11" s="306"/>
      <c r="H11" s="306"/>
    </row>
    <row r="12" spans="1:8" ht="16.5">
      <c r="A12" s="306"/>
      <c r="B12" s="9"/>
      <c r="C12" s="12">
        <v>1</v>
      </c>
      <c r="D12" s="12" t="s">
        <v>1153</v>
      </c>
      <c r="E12" s="306"/>
      <c r="F12" s="306"/>
      <c r="G12" s="306"/>
      <c r="H12" s="306"/>
    </row>
    <row r="13" spans="1:8" ht="15.75">
      <c r="A13" s="306"/>
      <c r="B13" s="9"/>
      <c r="C13" s="12">
        <v>2</v>
      </c>
      <c r="D13" s="12" t="s">
        <v>4</v>
      </c>
      <c r="E13" s="306"/>
      <c r="F13" s="306"/>
      <c r="G13" s="306"/>
      <c r="H13" s="306"/>
    </row>
    <row r="14" spans="1:8" ht="15.75">
      <c r="A14" s="306"/>
      <c r="B14" s="9"/>
      <c r="C14" s="12">
        <v>3</v>
      </c>
      <c r="D14" s="12" t="s">
        <v>5</v>
      </c>
      <c r="E14" s="306"/>
      <c r="F14" s="306"/>
      <c r="G14" s="306"/>
      <c r="H14" s="306"/>
    </row>
    <row r="15" spans="1:8" ht="15.75">
      <c r="A15" s="306"/>
      <c r="B15" s="9"/>
      <c r="C15" s="12">
        <v>4</v>
      </c>
      <c r="D15" s="12" t="s">
        <v>6</v>
      </c>
      <c r="E15" s="306"/>
      <c r="F15" s="306"/>
      <c r="G15" s="306"/>
      <c r="H15" s="306"/>
    </row>
    <row r="16" spans="1:8" ht="5.25" customHeight="1">
      <c r="A16" s="306"/>
      <c r="B16" s="9"/>
      <c r="C16" s="10"/>
      <c r="D16" s="11"/>
      <c r="E16" s="306"/>
      <c r="F16" s="306"/>
      <c r="G16" s="306"/>
      <c r="H16" s="306"/>
    </row>
    <row r="17" spans="1:8" ht="16.5">
      <c r="A17" s="306"/>
      <c r="B17" s="256" t="s">
        <v>9</v>
      </c>
      <c r="C17" s="10"/>
      <c r="D17" s="11"/>
      <c r="E17" s="306"/>
      <c r="F17" s="306"/>
      <c r="G17" s="306"/>
      <c r="H17" s="306"/>
    </row>
    <row r="18" spans="1:8" ht="33">
      <c r="A18" s="306"/>
      <c r="B18" s="9"/>
      <c r="C18" s="12">
        <v>1</v>
      </c>
      <c r="D18" s="13" t="s">
        <v>10</v>
      </c>
      <c r="E18" s="306"/>
      <c r="F18" s="306"/>
      <c r="G18" s="306"/>
      <c r="H18" s="306"/>
    </row>
    <row r="19" spans="1:8" ht="31.5">
      <c r="A19" s="306"/>
      <c r="B19" s="9"/>
      <c r="C19" s="12">
        <v>2</v>
      </c>
      <c r="D19" s="13" t="s">
        <v>11</v>
      </c>
      <c r="E19" s="306"/>
      <c r="F19" s="306"/>
      <c r="G19" s="306"/>
      <c r="H19" s="306"/>
    </row>
    <row r="20" spans="1:8" ht="15.75">
      <c r="A20" s="306"/>
      <c r="B20" s="9"/>
      <c r="C20" s="12">
        <v>3</v>
      </c>
      <c r="D20" s="13" t="s">
        <v>6</v>
      </c>
      <c r="E20" s="306"/>
      <c r="F20" s="306"/>
      <c r="G20" s="306"/>
      <c r="H20" s="306"/>
    </row>
    <row r="21" spans="1:8" ht="16.5">
      <c r="A21" s="306"/>
      <c r="B21" s="257"/>
      <c r="C21" s="12">
        <v>4</v>
      </c>
      <c r="D21" s="13" t="s">
        <v>12</v>
      </c>
      <c r="E21" s="306"/>
      <c r="F21" s="306"/>
      <c r="G21" s="306"/>
      <c r="H21" s="306"/>
    </row>
    <row r="22" spans="1:8">
      <c r="A22" s="306"/>
      <c r="B22" s="306"/>
      <c r="C22" s="306"/>
      <c r="D22" s="306"/>
      <c r="E22" s="306"/>
      <c r="F22" s="306"/>
      <c r="G22" s="306"/>
      <c r="H22" s="306"/>
    </row>
    <row r="23" spans="1:8">
      <c r="A23" s="306"/>
      <c r="B23" s="306"/>
      <c r="C23" s="306"/>
      <c r="D23" s="306"/>
      <c r="E23" s="306"/>
      <c r="F23" s="306"/>
      <c r="G23" s="306"/>
    </row>
    <row r="24" spans="1:8" hidden="1"/>
    <row r="25" spans="1:8" hidden="1">
      <c r="B25" s="113"/>
    </row>
  </sheetData>
  <sheetProtection sheet="1" objects="1" scenarios="1"/>
  <mergeCells count="6">
    <mergeCell ref="A1:A23"/>
    <mergeCell ref="B1:D3"/>
    <mergeCell ref="E1:H22"/>
    <mergeCell ref="B4:D4"/>
    <mergeCell ref="B22:D23"/>
    <mergeCell ref="E23:G23"/>
  </mergeCells>
  <pageMargins left="0.7" right="0.7" top="0.75" bottom="0.75" header="0.3" footer="0.3"/>
  <pageSetup orientation="portrait" horizontalDpi="90" verticalDpi="90" r:id="rId1"/>
  <drawing r:id="rId2"/>
</worksheet>
</file>

<file path=xl/worksheets/sheet8.xml><?xml version="1.0" encoding="utf-8"?>
<worksheet xmlns="http://schemas.openxmlformats.org/spreadsheetml/2006/main" xmlns:r="http://schemas.openxmlformats.org/officeDocument/2006/relationships">
  <sheetPr codeName="Sheet6"/>
  <dimension ref="A1:D12"/>
  <sheetViews>
    <sheetView workbookViewId="0">
      <selection activeCell="B3" sqref="B3"/>
    </sheetView>
  </sheetViews>
  <sheetFormatPr defaultColWidth="0" defaultRowHeight="15.75" zeroHeight="1"/>
  <cols>
    <col min="1" max="1" width="39.140625" style="33" customWidth="1"/>
    <col min="2" max="2" width="27.5703125" style="33" customWidth="1"/>
    <col min="3" max="3" width="16" style="44" customWidth="1"/>
    <col min="4" max="16384" width="0" style="33" hidden="1"/>
  </cols>
  <sheetData>
    <row r="1" spans="1:4" s="45" customFormat="1" ht="48.75" customHeight="1">
      <c r="B1" s="310" t="s">
        <v>961</v>
      </c>
      <c r="C1" s="310"/>
    </row>
    <row r="2" spans="1:4" s="46" customFormat="1" ht="21" customHeight="1">
      <c r="A2" s="311" t="s">
        <v>484</v>
      </c>
      <c r="B2" s="311"/>
      <c r="C2" s="312" t="s">
        <v>1252</v>
      </c>
      <c r="D2" s="312"/>
    </row>
    <row r="3" spans="1:4">
      <c r="A3" s="47" t="s">
        <v>962</v>
      </c>
      <c r="B3" s="48"/>
      <c r="C3" s="234" t="str">
        <f>MID(SecA.RtnPdFrom,4,2)</f>
        <v/>
      </c>
    </row>
    <row r="4" spans="1:4">
      <c r="A4" s="47" t="s">
        <v>963</v>
      </c>
      <c r="B4" s="49"/>
      <c r="C4" s="234" t="str">
        <f>IF(ISERROR(LOOKUP(SecA.RtnType,ReturnTypeSorted,ReturnTypeCode)),"",LOOKUP(SecA.RtnType,ReturnTypeSorted,ReturnTypeCode))</f>
        <v/>
      </c>
    </row>
    <row r="5" spans="1:4">
      <c r="A5" s="47" t="s">
        <v>964</v>
      </c>
      <c r="B5" s="49"/>
      <c r="C5" s="234" t="str">
        <f>IF(ISERROR(LOOKUP(SecA.EntityType,EntityTypeSorted,EntityTypeCode)),"",LOOKUP(SecA.EntityType,EntityTypeSorted,EntityTypeCode))</f>
        <v/>
      </c>
    </row>
    <row r="6" spans="1:4">
      <c r="A6" s="47" t="s">
        <v>965</v>
      </c>
      <c r="B6" s="50"/>
      <c r="C6" s="253" t="s">
        <v>1032</v>
      </c>
    </row>
    <row r="7" spans="1:4">
      <c r="A7" s="282" t="s">
        <v>966</v>
      </c>
      <c r="B7" s="59" t="s">
        <v>1032</v>
      </c>
      <c r="C7" s="253" t="s">
        <v>1032</v>
      </c>
    </row>
    <row r="8" spans="1:4" ht="31.5">
      <c r="A8" s="283" t="s">
        <v>1243</v>
      </c>
      <c r="B8" s="287"/>
      <c r="C8" s="253"/>
    </row>
    <row r="9" spans="1:4" ht="37.5" customHeight="1">
      <c r="A9" s="234" t="str">
        <f>RIGHT(C2,LEN(C2)-8)</f>
        <v>15.0.10</v>
      </c>
      <c r="B9" s="234">
        <f>obligationId</f>
        <v>9</v>
      </c>
      <c r="C9" s="234" t="str">
        <f>RIGHT(SecA.RtnPdFrom,4)</f>
        <v/>
      </c>
    </row>
    <row r="10" spans="1:4" ht="37.5" customHeight="1">
      <c r="A10" s="234" t="str">
        <f>templateType</f>
        <v>XLS</v>
      </c>
      <c r="B10" s="234" t="str">
        <f>officeVersion</f>
        <v>EXCEL 1997-2003</v>
      </c>
      <c r="C10" s="253"/>
    </row>
    <row r="11" spans="1:4" ht="37.5" customHeight="1">
      <c r="A11" s="234">
        <f>moduleId</f>
        <v>2</v>
      </c>
      <c r="B11" s="234">
        <f>formId</f>
        <v>4</v>
      </c>
      <c r="C11" s="253"/>
    </row>
    <row r="12" spans="1:4" ht="37.5" customHeight="1">
      <c r="A12" s="234"/>
      <c r="B12" s="253" t="s">
        <v>1032</v>
      </c>
      <c r="C12" s="253" t="s">
        <v>1032</v>
      </c>
    </row>
  </sheetData>
  <sheetProtection algorithmName="SHA-512" hashValue="tlozdYiDjJriq68NR1yl5ljvqv2JoAdJTAGiztoPqIAQJHp7NU6nKuEZ3KQ4oqcaU5WDk+ql5xZHxOaFFV9GrQ==" saltValue="wAyIIvydXM63Dd9anHd/mg==" spinCount="100000" sheet="1" objects="1" scenarios="1" selectLockedCells="1"/>
  <mergeCells count="3">
    <mergeCell ref="B1:C1"/>
    <mergeCell ref="A2:B2"/>
    <mergeCell ref="C2:D2"/>
  </mergeCells>
  <dataValidations xWindow="630" yWindow="394" count="5">
    <dataValidation type="list" allowBlank="1" showInputMessage="1" showErrorMessage="1" errorTitle="Data Error:" error="Please select data from DropDown Only. " promptTitle="List:" prompt="Select data from DropDown List. " sqref="B4">
      <formula1>ReturnType</formula1>
      <formula2>0</formula2>
    </dataValidation>
    <dataValidation type="textLength" operator="lessThan" allowBlank="1" showInputMessage="1" showErrorMessage="1" errorTitle="Data Error:" error="Please enter Personal Identification Number in proper format.  " promptTitle="Alphanumeric:" prompt="Enter alphanumeric values for Personal Identification Number. " sqref="B3">
      <formula1>16</formula1>
    </dataValidation>
    <dataValidation type="list" allowBlank="1" showInputMessage="1" showErrorMessage="1" errorTitle="Data Error:" error="Please select data from DropDown Only. " promptTitle="List:" prompt="Select data from DropDown List. " sqref="B5">
      <formula1>EntityType</formula1>
      <formula2>0</formula2>
    </dataValidation>
    <dataValidation type="textLength" allowBlank="1" showInputMessage="1" showErrorMessage="1" errorTitle="Data Error:" error="Please enter date value in dd/mm/yyyy format." promptTitle="Date:" prompt="Enter date value in dd/mm/yyyy format." sqref="B6:B7">
      <formula1>10</formula1>
      <formula2>10</formula2>
    </dataValidation>
    <dataValidation type="list" allowBlank="1" showInputMessage="1" showErrorMessage="1" errorTitle="Data Error:" error="Select data from DropDown List. " promptTitle="VAT Non-resident" prompt="Select data from DropDown List." sqref="B8">
      <formula1>"Yes,No"</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sheetPr codeName="Sheet9">
    <tabColor rgb="FF01EBF0"/>
  </sheetPr>
  <dimension ref="A1:O14"/>
  <sheetViews>
    <sheetView workbookViewId="0">
      <selection activeCell="G6" sqref="G6"/>
    </sheetView>
  </sheetViews>
  <sheetFormatPr defaultColWidth="0" defaultRowHeight="15.75" zeroHeight="1"/>
  <cols>
    <col min="1" max="7" width="27.5703125" style="52" customWidth="1"/>
    <col min="8" max="8" width="32.140625" style="52" customWidth="1"/>
    <col min="9" max="10" width="27.5703125" style="52" customWidth="1"/>
    <col min="11" max="11" width="9.5703125" style="52" customWidth="1"/>
    <col min="12" max="14" width="3.5703125" style="52" customWidth="1"/>
    <col min="15" max="16384" width="0" style="52" hidden="1"/>
  </cols>
  <sheetData>
    <row r="1" spans="1:15" ht="33" customHeight="1">
      <c r="A1" s="310" t="s">
        <v>967</v>
      </c>
      <c r="B1" s="310"/>
      <c r="C1" s="310"/>
      <c r="D1" s="310"/>
      <c r="E1" s="310"/>
      <c r="F1" s="310"/>
      <c r="G1" s="310"/>
      <c r="H1" s="310"/>
      <c r="I1" s="310"/>
      <c r="J1" s="310"/>
      <c r="K1" s="53"/>
      <c r="L1" s="51"/>
      <c r="M1" s="51"/>
      <c r="N1" s="51"/>
    </row>
    <row r="2" spans="1:15" ht="32.25" customHeight="1">
      <c r="A2" s="54" t="s">
        <v>577</v>
      </c>
      <c r="B2" s="54" t="s">
        <v>578</v>
      </c>
      <c r="C2" s="54" t="s">
        <v>579</v>
      </c>
      <c r="D2" s="54" t="s">
        <v>580</v>
      </c>
      <c r="E2" s="54" t="s">
        <v>581</v>
      </c>
      <c r="F2" s="54" t="s">
        <v>582</v>
      </c>
      <c r="G2" s="54" t="s">
        <v>968</v>
      </c>
      <c r="H2" s="54" t="s">
        <v>1234</v>
      </c>
      <c r="I2" s="54" t="s">
        <v>585</v>
      </c>
      <c r="J2" s="54" t="s">
        <v>586</v>
      </c>
      <c r="K2" s="55" t="s">
        <v>969</v>
      </c>
      <c r="L2" s="51"/>
      <c r="M2" s="51"/>
      <c r="N2" s="51"/>
    </row>
    <row r="3" spans="1:15" ht="16.5">
      <c r="A3" s="278"/>
      <c r="B3" s="264"/>
      <c r="C3" s="284"/>
      <c r="D3" s="279"/>
      <c r="E3" s="264"/>
      <c r="F3" s="264"/>
      <c r="G3" s="285"/>
      <c r="H3" s="61" t="str">
        <f>IF(G3&lt;&gt;"",
IF(
AND(SecA.MonthCode&gt;="04",SecA.RtnYear="2020"),
14*G3/100,
16*G3/100),
"")</f>
        <v/>
      </c>
      <c r="I3" s="199"/>
      <c r="J3" s="200"/>
      <c r="K3" s="51" t="str">
        <f>IF(COUNTBLANK(A3:J3)=10,"","GNRL")</f>
        <v/>
      </c>
      <c r="L3" s="51">
        <v>16</v>
      </c>
      <c r="M3" s="51" t="str">
        <f>IF(G3&gt;0,CONCATENATE(A3,E3,D3),"")</f>
        <v/>
      </c>
      <c r="N3" s="51" t="str">
        <f>CONCATENATE(A3,I3,J3)</f>
        <v/>
      </c>
      <c r="O3" s="52" t="str">
        <f ca="1">IF(G3&lt;0,IF(NOT(ISERROR(MATCH(N3,$M$3:OFFSET(searchOffset,-1,0),0))),"","E"),"")</f>
        <v/>
      </c>
    </row>
    <row r="4" spans="1:15" ht="16.5">
      <c r="A4" s="278"/>
      <c r="B4" s="264"/>
      <c r="C4" s="284"/>
      <c r="D4" s="279"/>
      <c r="E4" s="264"/>
      <c r="F4" s="264"/>
      <c r="G4" s="285"/>
      <c r="H4" s="61" t="str">
        <f>IF(G4&lt;&gt;"",
IF(
AND(SecA.MonthCode&gt;="04",SecA.RtnYear="2020"),
14*G4/100,
16*G4/100),
"")</f>
        <v/>
      </c>
      <c r="I4" s="199"/>
      <c r="J4" s="200"/>
      <c r="K4" s="51" t="str">
        <f>IF(COUNTBLANK(A4:J4)=10,"","GNRL")</f>
        <v/>
      </c>
      <c r="L4" s="51">
        <v>16</v>
      </c>
      <c r="M4" s="51" t="str">
        <f>IF(G4&gt;0,CONCATENATE(A4,E4,D4),"")</f>
        <v/>
      </c>
      <c r="N4" s="51" t="str">
        <f>CONCATENATE(A4,I4,J4)</f>
        <v/>
      </c>
      <c r="O4" s="52" t="str">
        <f ca="1">IF(G4&lt;0,IF(NOT(ISERROR(MATCH(N4,$M$3:OFFSET(searchOffset,-1,0),0))),"","E"),"")</f>
        <v/>
      </c>
    </row>
    <row r="5" spans="1:15" ht="16.5" customHeight="1">
      <c r="A5" s="313" t="s">
        <v>970</v>
      </c>
      <c r="B5" s="313"/>
      <c r="C5" s="313"/>
      <c r="D5" s="313"/>
      <c r="E5" s="313"/>
      <c r="F5" s="313"/>
      <c r="G5" s="63">
        <f ca="1">SUM(G3:OFFSET(Sch1.SalesAmtWithPINTO,-1,0))</f>
        <v>0</v>
      </c>
      <c r="H5" s="61">
        <f ca="1">SUM(H3:OFFSET(Sch1.VATAmtWithPINTO,-1,0))</f>
        <v>0</v>
      </c>
      <c r="I5" s="64"/>
      <c r="J5" s="64"/>
      <c r="K5" s="51"/>
      <c r="L5" s="51"/>
      <c r="M5" s="51"/>
      <c r="N5" s="51"/>
    </row>
    <row r="6" spans="1:15" ht="16.5" customHeight="1">
      <c r="A6" s="313" t="s">
        <v>971</v>
      </c>
      <c r="B6" s="313"/>
      <c r="C6" s="313"/>
      <c r="D6" s="313"/>
      <c r="E6" s="313"/>
      <c r="F6" s="313"/>
      <c r="G6" s="65"/>
      <c r="H6" s="61">
        <f>IF(AND(SecA.RtnYear="2020",SecA.MonthCode&gt;="04"),G6*14/100,G6*16/100)</f>
        <v>0</v>
      </c>
      <c r="I6" s="64"/>
      <c r="J6" s="64"/>
      <c r="K6" s="51"/>
      <c r="L6" s="51"/>
      <c r="M6" s="51"/>
      <c r="N6" s="51"/>
    </row>
    <row r="7" spans="1:15" ht="16.5">
      <c r="A7" s="313" t="s">
        <v>972</v>
      </c>
      <c r="B7" s="313"/>
      <c r="C7" s="313"/>
      <c r="D7" s="313"/>
      <c r="E7" s="313"/>
      <c r="F7" s="313"/>
      <c r="G7" s="63">
        <f ca="1">SUM(Sch1.SalesAmtWithPINTO,Sch1.SalesAmtWithoutPINTO)</f>
        <v>0</v>
      </c>
      <c r="H7" s="61">
        <f ca="1">SUM(Sch1.VATAmtWithPINTO,Sch1.VATAmtWithoutPINTO)</f>
        <v>0</v>
      </c>
      <c r="I7" s="64"/>
      <c r="J7" s="64"/>
      <c r="K7" s="51"/>
      <c r="L7" s="51"/>
      <c r="M7" s="51"/>
      <c r="N7" s="51"/>
    </row>
    <row r="8" spans="1:15" ht="37.5" customHeight="1">
      <c r="A8" s="51"/>
      <c r="B8" s="51"/>
      <c r="C8" s="51"/>
      <c r="D8" s="51"/>
      <c r="E8" s="51"/>
      <c r="F8" s="51"/>
      <c r="G8" s="51"/>
      <c r="H8" s="51"/>
      <c r="I8" s="51"/>
      <c r="J8" s="51"/>
      <c r="K8" s="51"/>
      <c r="L8" s="51"/>
      <c r="M8" s="51"/>
      <c r="N8" s="51"/>
    </row>
    <row r="9" spans="1:15" ht="37.5" customHeight="1">
      <c r="A9" s="51"/>
      <c r="B9" s="51"/>
      <c r="C9" s="51"/>
      <c r="D9" s="51"/>
      <c r="E9" s="51"/>
      <c r="F9" s="51"/>
      <c r="G9" s="51"/>
      <c r="H9" s="51"/>
      <c r="I9" s="51"/>
      <c r="J9" s="51"/>
      <c r="K9" s="51"/>
      <c r="L9" s="51"/>
      <c r="M9" s="51"/>
      <c r="N9" s="51"/>
    </row>
    <row r="10" spans="1:15" hidden="1">
      <c r="A10" s="51"/>
      <c r="B10" s="51"/>
      <c r="C10" s="51"/>
      <c r="D10" s="51"/>
      <c r="E10" s="51"/>
      <c r="F10" s="51"/>
      <c r="G10" s="51"/>
      <c r="H10" s="51"/>
      <c r="I10" s="51"/>
      <c r="J10" s="51"/>
      <c r="K10" s="51"/>
    </row>
    <row r="11" spans="1:15" hidden="1">
      <c r="A11" s="51"/>
      <c r="B11" s="51"/>
      <c r="C11" s="51"/>
      <c r="D11" s="51"/>
      <c r="E11" s="51"/>
      <c r="F11" s="51"/>
      <c r="G11" s="51"/>
      <c r="H11" s="51"/>
      <c r="I11" s="51"/>
      <c r="J11" s="51"/>
      <c r="K11" s="51"/>
    </row>
    <row r="12" spans="1:15" hidden="1">
      <c r="A12" s="51"/>
      <c r="B12" s="51"/>
      <c r="C12" s="51"/>
      <c r="D12" s="51"/>
      <c r="E12" s="51"/>
      <c r="F12" s="51"/>
      <c r="G12" s="51"/>
      <c r="H12" s="51"/>
      <c r="I12" s="51"/>
      <c r="J12" s="51"/>
      <c r="K12" s="51"/>
    </row>
    <row r="13" spans="1:15" hidden="1">
      <c r="A13" s="51"/>
      <c r="B13" s="51"/>
      <c r="C13" s="51"/>
      <c r="D13" s="51"/>
      <c r="E13" s="51"/>
      <c r="F13" s="51"/>
      <c r="G13" s="51"/>
      <c r="H13" s="51"/>
      <c r="I13" s="51"/>
      <c r="J13" s="51"/>
      <c r="K13" s="51"/>
    </row>
    <row r="14" spans="1:15" hidden="1">
      <c r="A14" s="51"/>
      <c r="B14" s="51"/>
      <c r="C14" s="51"/>
      <c r="D14" s="51"/>
      <c r="E14" s="51"/>
      <c r="F14" s="51"/>
      <c r="G14" s="51"/>
      <c r="H14" s="51"/>
      <c r="I14" s="51"/>
      <c r="J14" s="51"/>
      <c r="K14" s="51"/>
    </row>
  </sheetData>
  <sheetProtection algorithmName="SHA-512" hashValue="wHfWgBymAcQ7jh55tFBhmb92c8YJPLxCDW0SdxoXRb167IcfDedZmaOudCRpUHHRROlFzQYbQimnhJeRtaBX1Q==" saltValue="wc6a6PsgeyylpQcQenniSQ==" spinCount="100000" sheet="1" objects="1" scenarios="1" selectLockedCells="1"/>
  <mergeCells count="4">
    <mergeCell ref="A1:J1"/>
    <mergeCell ref="A5:F5"/>
    <mergeCell ref="A6:F6"/>
    <mergeCell ref="A7:F7"/>
  </mergeCells>
  <dataValidations xWindow="1224" yWindow="599" count="8">
    <dataValidation type="decimal" allowBlank="1" showInputMessage="1" showErrorMessage="1" errorTitle="Data Error:" error="Please Enter numeric value of length less than or equal to 15 digit." promptTitle="Numeric:" prompt="Enter numeric value of length less than or equal to 15 digit." sqref="G6">
      <formula1>-999999999999999</formula1>
      <formula2>999999999999999</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textLength" operator="lessThanOrEqual" allowBlank="1" showInputMessage="1" showErrorMessage="1" errorTitle="Data Error:" error="Please enter alphanumeric value of length less than or equal to 200  characters." promptTitle="Alphanumeric:" prompt="Enter alphanumeric value of length less than or equal to 200  characters.Special characters like Space , - . / : are allowed." sqref="F3:F4">
      <formula1>200</formula1>
      <formula2>0</formula2>
    </dataValidation>
    <dataValidation type="textLength" allowBlank="1" showInputMessage="1" showErrorMessage="1" errorTitle="Data Error:" error="Please enter date value in dd/mm/yyyy format." promptTitle="Date:" prompt="Enter date value in dd/mm/yyyy format." sqref="D3:D4 J3:J4">
      <formula1>10</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B3:B4">
      <formula1>50</formula1>
      <formula2>0</formula2>
    </dataValidation>
    <dataValidation type="textLength" operator="lessThanOrEqual" allowBlank="1" showInputMessage="1" showErrorMessage="1" errorTitle="Data Error:" error="Please enter alphanumeric value of length less than or equal to 40  characters." promptTitle="Alphanumeric:" prompt="Enter alphanumeric value of length less than or equal to 40  characters.Special characters like Space , - . / : are allowed." sqref="I3:I4 E3:E4">
      <formula1>40</formula1>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are not allowed." sqref="C3:C4">
      <formula1>20</formula1>
      <formula2>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G3:G4">
      <formula1>-1000000000000000</formula1>
      <formula2>999999999999999</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sheetPr codeName="Sheet10">
    <tabColor rgb="FF01EBF0"/>
  </sheetPr>
  <dimension ref="A1:O21"/>
  <sheetViews>
    <sheetView workbookViewId="0">
      <selection activeCell="G6" sqref="G6"/>
    </sheetView>
  </sheetViews>
  <sheetFormatPr defaultColWidth="0" defaultRowHeight="15.75" zeroHeight="1"/>
  <cols>
    <col min="1" max="10" width="27.5703125" style="52" customWidth="1"/>
    <col min="11" max="15" width="3.5703125" style="52" customWidth="1"/>
    <col min="16" max="16384" width="0" style="52" hidden="1"/>
  </cols>
  <sheetData>
    <row r="1" spans="1:15" s="66" customFormat="1" ht="31.5" customHeight="1">
      <c r="A1" s="314" t="s">
        <v>973</v>
      </c>
      <c r="B1" s="314"/>
      <c r="C1" s="314"/>
      <c r="D1" s="314"/>
      <c r="E1" s="314"/>
      <c r="F1" s="314"/>
      <c r="G1" s="314"/>
      <c r="H1" s="314"/>
      <c r="I1" s="314"/>
      <c r="J1" s="314"/>
      <c r="K1" s="55"/>
      <c r="L1" s="51"/>
      <c r="M1" s="51"/>
      <c r="N1" s="51"/>
      <c r="O1" s="51"/>
    </row>
    <row r="2" spans="1:15" ht="33">
      <c r="A2" s="54" t="s">
        <v>577</v>
      </c>
      <c r="B2" s="54" t="s">
        <v>578</v>
      </c>
      <c r="C2" s="54" t="s">
        <v>579</v>
      </c>
      <c r="D2" s="54" t="s">
        <v>580</v>
      </c>
      <c r="E2" s="54" t="s">
        <v>581</v>
      </c>
      <c r="F2" s="54" t="s">
        <v>582</v>
      </c>
      <c r="G2" s="54" t="s">
        <v>968</v>
      </c>
      <c r="H2" s="67" t="s">
        <v>1211</v>
      </c>
      <c r="I2" s="54" t="s">
        <v>585</v>
      </c>
      <c r="J2" s="54" t="s">
        <v>586</v>
      </c>
      <c r="K2" s="55" t="s">
        <v>969</v>
      </c>
      <c r="L2" s="55"/>
      <c r="M2" s="55"/>
      <c r="N2" s="55"/>
      <c r="O2" s="55"/>
    </row>
    <row r="3" spans="1:15" ht="16.5">
      <c r="A3" s="293"/>
      <c r="B3" s="293"/>
      <c r="C3" s="293"/>
      <c r="D3" s="294"/>
      <c r="E3" s="295"/>
      <c r="F3" s="293"/>
      <c r="G3" s="293"/>
      <c r="H3" s="61" t="str">
        <f>IF(G3="","",G3*8/100)</f>
        <v/>
      </c>
      <c r="I3" s="199"/>
      <c r="J3" s="200"/>
      <c r="K3" s="51" t="str">
        <f>IF(COUNTBLANK(A3:J3)=10,"","OTHR")</f>
        <v/>
      </c>
      <c r="L3" s="51"/>
      <c r="M3" s="51" t="str">
        <f>IF(G3&gt;0,CONCATENATE(A3,E3,D3),"")</f>
        <v/>
      </c>
      <c r="N3" s="51" t="str">
        <f>CONCATENATE(A3,I3,J3)</f>
        <v/>
      </c>
      <c r="O3" s="51" t="str">
        <f ca="1">IF(G3&lt;0,IF(NOT(ISERROR(MATCH(N3,$M$3:OFFSET(searchoffset_Section_C,-1,0),0))),"","E"),"")</f>
        <v/>
      </c>
    </row>
    <row r="4" spans="1:15" ht="16.5">
      <c r="A4" s="293"/>
      <c r="B4" s="293"/>
      <c r="C4" s="293"/>
      <c r="D4" s="294"/>
      <c r="E4" s="295"/>
      <c r="F4" s="293"/>
      <c r="G4" s="293"/>
      <c r="H4" s="61" t="str">
        <f>IF(G4="","",G4*8/100)</f>
        <v/>
      </c>
      <c r="I4" s="199"/>
      <c r="J4" s="200"/>
      <c r="K4" s="51" t="str">
        <f>IF(COUNTBLANK(A4:J4)=10,"","OTHR")</f>
        <v/>
      </c>
      <c r="L4" s="51"/>
      <c r="M4" s="51" t="str">
        <f>IF(G4&gt;0,CONCATENATE(A4,E4,D4),"")</f>
        <v/>
      </c>
      <c r="N4" s="51" t="str">
        <f>CONCATENATE(A4,I4,J4)</f>
        <v/>
      </c>
      <c r="O4" s="51" t="str">
        <f ca="1">IF(G4&lt;0,IF(NOT(ISERROR(MATCH(N4,$M$3:OFFSET(searchoffset_Section_C,-1,0),0))),"","E"),"")</f>
        <v/>
      </c>
    </row>
    <row r="5" spans="1:15" ht="16.5">
      <c r="A5" s="313" t="s">
        <v>970</v>
      </c>
      <c r="B5" s="313"/>
      <c r="C5" s="313"/>
      <c r="D5" s="313"/>
      <c r="E5" s="313"/>
      <c r="F5" s="313"/>
      <c r="G5" s="63">
        <f ca="1">SUM(G3:OFFSET(Sch2.SalesAmtWithPINTO,-1,0))</f>
        <v>0</v>
      </c>
      <c r="H5" s="61">
        <f ca="1">IF(G5="","",G5*8/100)</f>
        <v>0</v>
      </c>
      <c r="I5" s="64"/>
      <c r="J5" s="64"/>
      <c r="K5" s="51"/>
      <c r="L5" s="51"/>
      <c r="M5" s="51"/>
      <c r="N5" s="51"/>
      <c r="O5" s="51"/>
    </row>
    <row r="6" spans="1:15" ht="16.5">
      <c r="A6" s="313" t="s">
        <v>971</v>
      </c>
      <c r="B6" s="313"/>
      <c r="C6" s="313"/>
      <c r="D6" s="313"/>
      <c r="E6" s="313"/>
      <c r="F6" s="313"/>
      <c r="G6" s="273">
        <v>0</v>
      </c>
      <c r="H6" s="61">
        <f>IF(G6="","",G6*8/100)</f>
        <v>0</v>
      </c>
      <c r="I6" s="64"/>
      <c r="J6" s="64"/>
      <c r="K6" s="51"/>
      <c r="L6" s="51"/>
      <c r="M6" s="51"/>
      <c r="N6" s="51"/>
      <c r="O6" s="51"/>
    </row>
    <row r="7" spans="1:15" ht="16.5">
      <c r="A7" s="313" t="s">
        <v>972</v>
      </c>
      <c r="B7" s="313"/>
      <c r="C7" s="313"/>
      <c r="D7" s="313"/>
      <c r="E7" s="313"/>
      <c r="F7" s="313"/>
      <c r="G7" s="63">
        <f ca="1">SUM(Sch2.SalesAmtWithPINTO,Sch2.SalesAmtWithoutPINTO)</f>
        <v>0</v>
      </c>
      <c r="H7" s="61">
        <f ca="1">SUM(Sch2.VATAmtWithPINTO,Sch2.VATAmtWithoutPINTO)</f>
        <v>0</v>
      </c>
      <c r="I7" s="64"/>
      <c r="J7" s="64"/>
      <c r="K7" s="51"/>
      <c r="L7" s="51"/>
      <c r="M7" s="51"/>
      <c r="N7" s="51"/>
      <c r="O7" s="51"/>
    </row>
    <row r="8" spans="1:15" ht="37.5" customHeight="1">
      <c r="A8" s="51"/>
      <c r="B8" s="51"/>
      <c r="C8" s="51"/>
      <c r="D8" s="51"/>
      <c r="E8" s="51"/>
      <c r="F8" s="51"/>
      <c r="G8" s="51"/>
      <c r="H8" s="51"/>
      <c r="I8" s="51"/>
      <c r="J8" s="51"/>
      <c r="K8" s="51"/>
      <c r="L8" s="51"/>
      <c r="M8" s="51"/>
      <c r="N8" s="51"/>
      <c r="O8" s="51"/>
    </row>
    <row r="9" spans="1:15" ht="37.5" customHeight="1">
      <c r="A9" s="51"/>
      <c r="B9" s="51"/>
      <c r="C9" s="51"/>
      <c r="D9" s="51"/>
      <c r="E9" s="51"/>
      <c r="F9" s="51"/>
      <c r="G9" s="51"/>
      <c r="H9" s="51"/>
      <c r="I9" s="51"/>
      <c r="J9" s="51"/>
      <c r="K9" s="51"/>
      <c r="L9" s="51"/>
      <c r="M9" s="51"/>
      <c r="N9" s="51"/>
      <c r="O9" s="51"/>
    </row>
    <row r="10" spans="1:15" hidden="1">
      <c r="A10" s="51"/>
      <c r="B10" s="51"/>
      <c r="C10" s="51"/>
      <c r="D10" s="51"/>
      <c r="E10" s="51"/>
      <c r="F10" s="51"/>
      <c r="G10" s="51"/>
      <c r="H10" s="51"/>
      <c r="I10" s="51"/>
      <c r="J10" s="51"/>
      <c r="K10" s="51"/>
      <c r="L10" s="51"/>
      <c r="M10" s="51"/>
      <c r="N10" s="51"/>
      <c r="O10" s="51"/>
    </row>
    <row r="11" spans="1:15" hidden="1">
      <c r="A11" s="51"/>
      <c r="B11" s="51"/>
      <c r="C11" s="51"/>
      <c r="D11" s="51"/>
      <c r="E11" s="51"/>
      <c r="F11" s="51"/>
      <c r="G11" s="51"/>
      <c r="H11" s="51"/>
      <c r="I11" s="51"/>
      <c r="J11" s="51"/>
      <c r="K11" s="51"/>
      <c r="L11" s="51"/>
      <c r="M11" s="51"/>
      <c r="N11" s="51"/>
      <c r="O11" s="51"/>
    </row>
    <row r="12" spans="1:15" hidden="1">
      <c r="A12" s="51"/>
      <c r="B12" s="51"/>
      <c r="C12" s="51"/>
      <c r="D12" s="51"/>
      <c r="E12" s="51"/>
      <c r="F12" s="51"/>
      <c r="G12" s="51"/>
      <c r="H12" s="51"/>
      <c r="I12" s="51"/>
      <c r="J12" s="51"/>
      <c r="K12" s="51"/>
      <c r="L12" s="51"/>
      <c r="M12" s="51"/>
      <c r="N12" s="51"/>
      <c r="O12" s="51"/>
    </row>
    <row r="13" spans="1:15" hidden="1">
      <c r="A13" s="51"/>
      <c r="B13" s="51"/>
      <c r="C13" s="51"/>
      <c r="D13" s="51"/>
      <c r="E13" s="51"/>
      <c r="F13" s="51"/>
      <c r="G13" s="51"/>
      <c r="H13" s="51"/>
      <c r="I13" s="51"/>
      <c r="J13" s="51"/>
      <c r="K13" s="51"/>
      <c r="L13" s="51"/>
      <c r="M13" s="51"/>
      <c r="N13" s="51"/>
      <c r="O13" s="51"/>
    </row>
    <row r="14" spans="1:15" hidden="1">
      <c r="A14" s="51"/>
      <c r="B14" s="51"/>
      <c r="C14" s="51"/>
      <c r="D14" s="51"/>
      <c r="E14" s="51"/>
      <c r="F14" s="51"/>
      <c r="G14" s="51"/>
      <c r="H14" s="51"/>
      <c r="I14" s="51"/>
      <c r="J14" s="51"/>
      <c r="K14" s="51"/>
      <c r="L14" s="51"/>
      <c r="M14" s="51"/>
      <c r="N14" s="51"/>
      <c r="O14" s="51"/>
    </row>
    <row r="15" spans="1:15" hidden="1">
      <c r="A15" s="51"/>
      <c r="B15" s="51"/>
      <c r="C15" s="51"/>
      <c r="D15" s="51"/>
      <c r="E15" s="51"/>
      <c r="F15" s="51"/>
      <c r="G15" s="51"/>
      <c r="H15" s="51"/>
      <c r="I15" s="51"/>
      <c r="J15" s="51"/>
      <c r="K15" s="51"/>
      <c r="L15" s="51"/>
      <c r="M15" s="51"/>
      <c r="N15" s="51"/>
      <c r="O15" s="51"/>
    </row>
    <row r="16" spans="1:15" hidden="1">
      <c r="A16" s="51"/>
      <c r="B16" s="51"/>
      <c r="C16" s="51"/>
      <c r="D16" s="51"/>
      <c r="E16" s="51"/>
      <c r="F16" s="51"/>
      <c r="G16" s="51"/>
      <c r="H16" s="51"/>
      <c r="I16" s="51"/>
      <c r="J16" s="51"/>
      <c r="K16" s="51"/>
      <c r="L16" s="51"/>
      <c r="M16" s="51"/>
      <c r="N16" s="51"/>
      <c r="O16" s="51"/>
    </row>
    <row r="17" spans="1:15" hidden="1">
      <c r="A17" s="51"/>
      <c r="B17" s="51"/>
      <c r="C17" s="51"/>
      <c r="D17" s="51"/>
      <c r="E17" s="51"/>
      <c r="F17" s="51"/>
      <c r="G17" s="51"/>
      <c r="H17" s="51"/>
      <c r="I17" s="51"/>
      <c r="J17" s="51"/>
      <c r="K17" s="51"/>
      <c r="L17" s="51"/>
      <c r="M17" s="51"/>
      <c r="N17" s="51"/>
      <c r="O17" s="51"/>
    </row>
    <row r="18" spans="1:15" hidden="1">
      <c r="A18" s="51"/>
      <c r="B18" s="51"/>
      <c r="C18" s="51"/>
      <c r="D18" s="51"/>
      <c r="E18" s="51"/>
      <c r="F18" s="51"/>
      <c r="G18" s="51"/>
      <c r="H18" s="51"/>
      <c r="I18" s="51"/>
      <c r="J18" s="51"/>
      <c r="K18" s="51"/>
      <c r="L18" s="51"/>
      <c r="M18" s="51"/>
      <c r="N18" s="51"/>
      <c r="O18" s="51"/>
    </row>
    <row r="19" spans="1:15" hidden="1">
      <c r="A19" s="51"/>
      <c r="B19" s="51"/>
      <c r="C19" s="51"/>
      <c r="D19" s="51"/>
      <c r="E19" s="51"/>
      <c r="F19" s="51"/>
      <c r="G19" s="51"/>
      <c r="H19" s="51"/>
      <c r="I19" s="51"/>
      <c r="J19" s="51"/>
      <c r="K19" s="51"/>
      <c r="L19" s="51"/>
      <c r="M19" s="51"/>
      <c r="N19" s="51"/>
      <c r="O19" s="51"/>
    </row>
    <row r="20" spans="1:15" hidden="1">
      <c r="A20" s="51"/>
      <c r="B20" s="51"/>
      <c r="C20" s="51"/>
      <c r="D20" s="51"/>
      <c r="E20" s="51"/>
      <c r="F20" s="51"/>
      <c r="G20" s="51"/>
      <c r="H20" s="51"/>
      <c r="I20" s="51"/>
      <c r="J20" s="51"/>
      <c r="K20" s="51"/>
      <c r="L20" s="51"/>
      <c r="M20" s="51"/>
      <c r="N20" s="51"/>
      <c r="O20" s="51"/>
    </row>
    <row r="21" spans="1:15" hidden="1">
      <c r="A21" s="51"/>
      <c r="B21" s="51"/>
      <c r="C21" s="51"/>
      <c r="D21" s="51"/>
      <c r="E21" s="51"/>
      <c r="F21" s="51"/>
      <c r="G21" s="51"/>
      <c r="H21" s="51"/>
      <c r="I21" s="51"/>
      <c r="J21" s="51"/>
      <c r="K21" s="51"/>
      <c r="L21" s="51"/>
      <c r="M21" s="51"/>
      <c r="N21" s="51"/>
      <c r="O21" s="51"/>
    </row>
  </sheetData>
  <sheetProtection algorithmName="SHA-512" hashValue="28ty/gMhgFUB+x+IfIBPcG3UIwR7n+HqIEWCj5BW5MmmMFOLkHzsCW5ALMQtPfEvw914GQvKZk43fiETNi0CeA==" saltValue="56cvhqpdRZOc7qf5jTK7qw==" spinCount="100000" sheet="1" objects="1" scenarios="1" selectLockedCells="1"/>
  <mergeCells count="4">
    <mergeCell ref="A1:J1"/>
    <mergeCell ref="A5:F5"/>
    <mergeCell ref="A6:F6"/>
    <mergeCell ref="A7:F7"/>
  </mergeCells>
  <dataValidations xWindow="1228" yWindow="351" count="9">
    <dataValidation type="decimal" allowBlank="1" showInputMessage="1" showErrorMessage="1" errorTitle="Data Error:" error="Please enter Enter numeric value of length less than or equal to 15 digit." promptTitle="Numeric:" prompt="Enter numeric value of length less than or equal to 15 digit." sqref="G6">
      <formula1>0</formula1>
      <formula2>999999999999999</formula2>
    </dataValidation>
    <dataValidation allowBlank="1" errorTitle="Data Error:" error="Please enter Excise Duty which should always be less than Amount Before Tax and length should be upto 15 digits only." promptTitle="Numeric:" prompt="Enter numeric value of length less than or equal to 15 digit." sqref="I5:J6 H3:H6">
      <formula1>0</formula1>
      <formula2>0</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textLength" operator="lessThanOrEqual" allowBlank="1" showInputMessage="1" showErrorMessage="1" errorTitle="Data Error:" error="Please enter alphanumeric value of length less than or equal to 200  characters." promptTitle="Alphanumeric:" prompt="Enter alphanumeric value of length less than or equal to 200  characters.Special characters like Space , - . / : are allowed." sqref="F3:F4">
      <formula1>200</formula1>
      <formula2>0</formula2>
    </dataValidation>
    <dataValidation type="textLength" allowBlank="1" showInputMessage="1" showErrorMessage="1" errorTitle="Data Error:" error="Please enter date value in dd/mm/yyyy format." promptTitle="Date:" prompt="Enter date value in dd/mm/yyyy format." sqref="D3:D4 J3:J4">
      <formula1>10</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B3:B4">
      <formula1>50</formula1>
      <formula2>0</formula2>
    </dataValidation>
    <dataValidation type="textLength" operator="lessThanOrEqual" allowBlank="1" showInputMessage="1" showErrorMessage="1" errorTitle="Data Error:" error="Please enter alphanumeric value of length less than or equal to 40  characters." promptTitle="Alphanumeric:" prompt="Enter alphanumeric value of length less than or equal to 40  characters.Special characters like Space , - . / : are allowed." sqref="I3:I4 E3:E4">
      <formula1>40</formula1>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are not allowed." sqref="C3:C4">
      <formula1>20</formula1>
      <formula2>0</formula2>
    </dataValidation>
    <dataValidation type="decimal" allowBlank="1" showInputMessage="1" showErrorMessage="1" errorTitle="Data Error:" error="Please Enter numeric value of length less than or equal to 15 digit." promptTitle="Numeric:" prompt="Enter numeric value of length less than or equal to 15 digit." sqref="G3:G4">
      <formula1>-1000000000000000</formula1>
      <formula2>999999999999999</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1.xml><?xml version="1.0" encoding="utf-8"?>
<worksheet xmlns="http://schemas.openxmlformats.org/spreadsheetml/2006/main" xmlns:r="http://schemas.openxmlformats.org/officeDocument/2006/relationships">
  <sheetPr codeName="Sheet11">
    <tabColor rgb="FF01EBF0"/>
  </sheetPr>
  <dimension ref="A1:IU12861"/>
  <sheetViews>
    <sheetView workbookViewId="0">
      <selection activeCell="J7" sqref="J7"/>
    </sheetView>
  </sheetViews>
  <sheetFormatPr defaultColWidth="0" defaultRowHeight="15.75" zeroHeight="1"/>
  <cols>
    <col min="1" max="12" width="27.5703125" style="52" customWidth="1"/>
    <col min="13" max="14" width="3.5703125" style="52" customWidth="1"/>
    <col min="15" max="15" width="3.42578125" style="52" customWidth="1"/>
    <col min="16" max="255" width="0" style="52" hidden="1" customWidth="1"/>
    <col min="256" max="16384" width="6.5703125" style="52" hidden="1"/>
  </cols>
  <sheetData>
    <row r="1" spans="1:16" ht="31.5" customHeight="1">
      <c r="A1" s="321" t="s">
        <v>974</v>
      </c>
      <c r="B1" s="321"/>
      <c r="C1" s="321"/>
      <c r="D1" s="321"/>
      <c r="E1" s="321"/>
      <c r="F1" s="321"/>
      <c r="G1" s="321"/>
      <c r="H1" s="321"/>
      <c r="I1" s="321"/>
      <c r="J1" s="321"/>
      <c r="K1" s="53"/>
      <c r="L1" s="51"/>
      <c r="M1" s="51"/>
      <c r="N1" s="51"/>
      <c r="O1" s="51"/>
    </row>
    <row r="2" spans="1:16" ht="21" customHeight="1">
      <c r="A2" s="322" t="s">
        <v>653</v>
      </c>
      <c r="B2" s="322"/>
      <c r="C2" s="322"/>
      <c r="D2" s="322"/>
      <c r="E2" s="322"/>
      <c r="F2" s="322"/>
      <c r="G2" s="322"/>
      <c r="H2" s="322"/>
      <c r="I2" s="322"/>
      <c r="J2" s="322"/>
      <c r="K2" s="53"/>
      <c r="L2" s="51"/>
      <c r="M2" s="51"/>
      <c r="N2" s="51"/>
      <c r="O2" s="51"/>
    </row>
    <row r="3" spans="1:16" ht="33">
      <c r="A3" s="54" t="s">
        <v>651</v>
      </c>
      <c r="B3" s="54" t="s">
        <v>577</v>
      </c>
      <c r="C3" s="54" t="s">
        <v>578</v>
      </c>
      <c r="D3" s="54" t="s">
        <v>579</v>
      </c>
      <c r="E3" s="54" t="s">
        <v>580</v>
      </c>
      <c r="F3" s="54" t="s">
        <v>581</v>
      </c>
      <c r="G3" s="54" t="s">
        <v>582</v>
      </c>
      <c r="H3" s="54" t="s">
        <v>197</v>
      </c>
      <c r="I3" s="54" t="s">
        <v>652</v>
      </c>
      <c r="J3" s="54" t="s">
        <v>968</v>
      </c>
      <c r="K3" s="51"/>
      <c r="L3" s="51"/>
      <c r="M3" s="51"/>
      <c r="N3" s="68"/>
      <c r="O3" s="68" t="s">
        <v>969</v>
      </c>
    </row>
    <row r="4" spans="1:16">
      <c r="A4" s="69"/>
      <c r="B4" s="202"/>
      <c r="C4" s="69"/>
      <c r="D4" s="69"/>
      <c r="E4" s="50"/>
      <c r="F4" s="69"/>
      <c r="G4" s="69"/>
      <c r="H4" s="201"/>
      <c r="I4" s="199"/>
      <c r="J4" s="65"/>
      <c r="K4" s="51" t="str">
        <f>IF(ISERROR(LOOKUP(A4,SortedTypeOfSales,SortedTypeOfSalesCode)),"",LOOKUP(A4,SortedTypeOfSales,SortedTypeOfSalesCode))</f>
        <v/>
      </c>
      <c r="L4" s="51" t="str">
        <f>IF(COUNTBLANK(A4:J4)=10,"","ZEROLCL")</f>
        <v/>
      </c>
      <c r="M4" s="51"/>
      <c r="N4" s="51"/>
      <c r="O4" s="51"/>
      <c r="P4" s="70"/>
    </row>
    <row r="5" spans="1:16">
      <c r="A5" s="69"/>
      <c r="B5" s="202"/>
      <c r="C5" s="69"/>
      <c r="D5" s="69"/>
      <c r="E5" s="50"/>
      <c r="F5" s="69"/>
      <c r="G5" s="69"/>
      <c r="H5" s="201"/>
      <c r="I5" s="199"/>
      <c r="J5" s="65"/>
      <c r="K5" s="51" t="str">
        <f>IF(ISERROR(LOOKUP(A5,SortedTypeOfSales,SortedTypeOfSalesCode)),"",LOOKUP(A5,SortedTypeOfSales,SortedTypeOfSalesCode))</f>
        <v/>
      </c>
      <c r="L5" s="51" t="str">
        <f>IF(COUNTBLANK(A5:J5)=10,"","ZEROLCL")</f>
        <v/>
      </c>
      <c r="M5" s="51"/>
      <c r="N5" s="51"/>
      <c r="O5" s="51"/>
      <c r="P5" s="70"/>
    </row>
    <row r="6" spans="1:16" ht="16.5">
      <c r="A6" s="323" t="s">
        <v>975</v>
      </c>
      <c r="B6" s="323"/>
      <c r="C6" s="323"/>
      <c r="D6" s="323"/>
      <c r="E6" s="323"/>
      <c r="F6" s="323"/>
      <c r="G6" s="323"/>
      <c r="H6" s="323"/>
      <c r="I6" s="323"/>
      <c r="J6" s="71">
        <f ca="1">SUM(J3:OFFSET(Sch3.SalesAmtWithPINTO,-1,0))</f>
        <v>0</v>
      </c>
      <c r="K6" s="51"/>
      <c r="L6" s="51"/>
      <c r="M6" s="51"/>
      <c r="N6" s="51"/>
      <c r="O6" s="51"/>
    </row>
    <row r="7" spans="1:16" ht="16.5">
      <c r="A7" s="313" t="s">
        <v>976</v>
      </c>
      <c r="B7" s="313"/>
      <c r="C7" s="313"/>
      <c r="D7" s="313"/>
      <c r="E7" s="313"/>
      <c r="F7" s="313"/>
      <c r="G7" s="313"/>
      <c r="H7" s="313"/>
      <c r="I7" s="313"/>
      <c r="J7" s="65"/>
      <c r="K7" s="51"/>
      <c r="L7" s="51"/>
      <c r="M7" s="51"/>
      <c r="N7" s="51"/>
      <c r="O7" s="51"/>
    </row>
    <row r="8" spans="1:16" ht="16.5">
      <c r="A8" s="313" t="s">
        <v>972</v>
      </c>
      <c r="B8" s="313"/>
      <c r="C8" s="313"/>
      <c r="D8" s="313"/>
      <c r="E8" s="313"/>
      <c r="F8" s="313"/>
      <c r="G8" s="313"/>
      <c r="H8" s="313"/>
      <c r="I8" s="313"/>
      <c r="J8" s="63">
        <f ca="1">SUM(Sch3.SalesAmtWithPINTO,Sch3.SalesAmtWithoutPINTO)</f>
        <v>0</v>
      </c>
      <c r="K8" s="51"/>
      <c r="L8" s="51"/>
      <c r="M8" s="51"/>
      <c r="N8" s="51"/>
      <c r="O8" s="51"/>
    </row>
    <row r="9" spans="1:16">
      <c r="A9" s="51"/>
      <c r="B9" s="51"/>
      <c r="C9" s="51"/>
      <c r="D9" s="51"/>
      <c r="E9" s="51"/>
      <c r="F9" s="51"/>
      <c r="G9" s="51"/>
      <c r="H9" s="51"/>
      <c r="I9" s="51"/>
      <c r="J9" s="51"/>
      <c r="K9" s="51"/>
      <c r="L9" s="51"/>
      <c r="M9" s="51"/>
      <c r="N9" s="51"/>
      <c r="O9" s="51"/>
    </row>
    <row r="10" spans="1:16">
      <c r="A10" s="51"/>
      <c r="B10" s="51"/>
      <c r="C10" s="51"/>
      <c r="D10" s="51"/>
      <c r="E10" s="51"/>
      <c r="F10" s="51"/>
      <c r="G10" s="51"/>
      <c r="H10" s="51"/>
      <c r="I10" s="51"/>
      <c r="J10" s="51"/>
      <c r="K10" s="51"/>
      <c r="L10" s="51"/>
      <c r="M10" s="51"/>
      <c r="N10" s="51"/>
      <c r="O10" s="51"/>
    </row>
    <row r="11" spans="1:16">
      <c r="A11" s="51"/>
      <c r="B11" s="51"/>
      <c r="C11" s="51"/>
      <c r="D11" s="51"/>
      <c r="E11" s="51"/>
      <c r="F11" s="51"/>
      <c r="G11" s="51"/>
      <c r="H11" s="51"/>
      <c r="I11" s="51"/>
      <c r="J11" s="51"/>
      <c r="K11" s="51"/>
      <c r="L11" s="51"/>
      <c r="M11" s="51"/>
      <c r="N11" s="51"/>
      <c r="O11" s="51"/>
    </row>
    <row r="12" spans="1:16" ht="21" customHeight="1">
      <c r="A12" s="320" t="s">
        <v>681</v>
      </c>
      <c r="B12" s="320"/>
      <c r="C12" s="320"/>
      <c r="D12" s="320"/>
      <c r="E12" s="320"/>
      <c r="F12" s="320"/>
      <c r="G12" s="320"/>
      <c r="H12" s="320"/>
      <c r="I12" s="320"/>
      <c r="J12" s="320"/>
      <c r="K12" s="320"/>
      <c r="L12" s="320"/>
      <c r="M12" s="51"/>
      <c r="N12" s="51"/>
      <c r="O12" s="51"/>
    </row>
    <row r="13" spans="1:16" ht="33">
      <c r="A13" s="262" t="s">
        <v>577</v>
      </c>
      <c r="B13" s="262" t="s">
        <v>578</v>
      </c>
      <c r="C13" s="262" t="s">
        <v>579</v>
      </c>
      <c r="D13" s="262" t="s">
        <v>580</v>
      </c>
      <c r="E13" s="262" t="s">
        <v>581</v>
      </c>
      <c r="F13" s="262" t="s">
        <v>1161</v>
      </c>
      <c r="G13" s="262" t="s">
        <v>582</v>
      </c>
      <c r="H13" s="262" t="s">
        <v>678</v>
      </c>
      <c r="I13" s="262" t="s">
        <v>679</v>
      </c>
      <c r="J13" s="262" t="s">
        <v>680</v>
      </c>
      <c r="K13" s="262" t="s">
        <v>197</v>
      </c>
      <c r="L13" s="262" t="s">
        <v>968</v>
      </c>
      <c r="M13" s="51"/>
      <c r="N13" s="51"/>
      <c r="O13" s="68" t="s">
        <v>969</v>
      </c>
    </row>
    <row r="14" spans="1:16" ht="16.5">
      <c r="A14" s="264"/>
      <c r="B14" s="57"/>
      <c r="C14" s="58"/>
      <c r="D14" s="59"/>
      <c r="E14" s="57"/>
      <c r="F14" s="263"/>
      <c r="G14" s="69"/>
      <c r="H14" s="268"/>
      <c r="I14" s="269"/>
      <c r="J14" s="202"/>
      <c r="K14" s="69"/>
      <c r="L14" s="60"/>
      <c r="M14" s="234" t="str">
        <f>IF(COUNTBLANK(A14:L14)=12,"","ZEROEXPT")</f>
        <v/>
      </c>
      <c r="N14" s="234" t="str">
        <f>IF(A14&lt;&gt;"","Yes","No")</f>
        <v>No</v>
      </c>
      <c r="O14" s="234"/>
      <c r="P14" s="52" t="s">
        <v>150</v>
      </c>
    </row>
    <row r="15" spans="1:16" ht="16.5">
      <c r="A15" s="264"/>
      <c r="B15" s="57"/>
      <c r="C15" s="58"/>
      <c r="D15" s="59"/>
      <c r="E15" s="57"/>
      <c r="F15" s="263"/>
      <c r="G15" s="57"/>
      <c r="H15" s="265"/>
      <c r="I15" s="266"/>
      <c r="J15" s="264"/>
      <c r="K15" s="57"/>
      <c r="L15" s="60"/>
      <c r="M15" s="234" t="str">
        <f>IF(COUNTBLANK(A15:L15)=12,"","ZEROEXPT")</f>
        <v/>
      </c>
      <c r="N15" s="234" t="str">
        <f>IF(A15&lt;&gt;"","Yes","No")</f>
        <v>No</v>
      </c>
      <c r="O15" s="234"/>
    </row>
    <row r="16" spans="1:16" ht="16.5">
      <c r="A16" s="317" t="s">
        <v>977</v>
      </c>
      <c r="B16" s="317"/>
      <c r="C16" s="317"/>
      <c r="D16" s="317"/>
      <c r="E16" s="317"/>
      <c r="F16" s="317"/>
      <c r="G16" s="317"/>
      <c r="H16" s="317"/>
      <c r="I16" s="317"/>
      <c r="J16" s="317"/>
      <c r="K16" s="317"/>
      <c r="L16" s="72">
        <f>SUMIF(HavePIN,"=Yes",SalesAmount)</f>
        <v>0</v>
      </c>
      <c r="M16" s="267"/>
      <c r="N16" s="267"/>
      <c r="O16" s="267"/>
    </row>
    <row r="17" spans="1:15" ht="16.5">
      <c r="A17" s="318" t="s">
        <v>978</v>
      </c>
      <c r="B17" s="318"/>
      <c r="C17" s="318"/>
      <c r="D17" s="318"/>
      <c r="E17" s="318"/>
      <c r="F17" s="318"/>
      <c r="G17" s="318"/>
      <c r="H17" s="318"/>
      <c r="I17" s="318"/>
      <c r="J17" s="318"/>
      <c r="K17" s="318"/>
      <c r="L17" s="72">
        <f>SUMIF(HavePIN,"=No",SalesAmount)</f>
        <v>0</v>
      </c>
      <c r="M17" s="267"/>
      <c r="N17" s="267"/>
      <c r="O17" s="267"/>
    </row>
    <row r="18" spans="1:15" ht="16.5">
      <c r="A18" s="319" t="s">
        <v>972</v>
      </c>
      <c r="B18" s="319"/>
      <c r="C18" s="319"/>
      <c r="D18" s="319"/>
      <c r="E18" s="319"/>
      <c r="F18" s="319"/>
      <c r="G18" s="319"/>
      <c r="H18" s="319"/>
      <c r="I18" s="319"/>
      <c r="J18" s="319"/>
      <c r="K18" s="319"/>
      <c r="L18" s="73">
        <f>SUM(Sch3.SalesAmtWithPINExpTO,Sch3.SalesAmtWithoutPINExpTO)</f>
        <v>0</v>
      </c>
      <c r="M18" s="51"/>
      <c r="N18" s="51"/>
      <c r="O18" s="51"/>
    </row>
    <row r="19" spans="1:15" ht="16.5">
      <c r="A19" s="318" t="s">
        <v>979</v>
      </c>
      <c r="B19" s="318"/>
      <c r="C19" s="318"/>
      <c r="D19" s="318"/>
      <c r="E19" s="318"/>
      <c r="F19" s="318"/>
      <c r="G19" s="318"/>
      <c r="H19" s="318"/>
      <c r="I19" s="318"/>
      <c r="J19" s="318"/>
      <c r="K19" s="318"/>
      <c r="L19" s="73">
        <f ca="1">SUM(Sch3.ZeroRateSalesDtlsTO,Sch3.ZeroRateSalesExpTO)</f>
        <v>0</v>
      </c>
      <c r="M19" s="51"/>
      <c r="N19" s="51"/>
      <c r="O19" s="51"/>
    </row>
    <row r="20" spans="1:15" ht="37.5" customHeight="1">
      <c r="A20" s="51"/>
      <c r="B20" s="51"/>
      <c r="C20" s="51"/>
      <c r="D20" s="51"/>
      <c r="E20" s="51"/>
      <c r="F20" s="51"/>
      <c r="G20" s="51"/>
      <c r="H20" s="51"/>
      <c r="I20" s="51"/>
      <c r="J20" s="51"/>
      <c r="K20" s="51"/>
      <c r="L20" s="51"/>
      <c r="M20" s="51"/>
      <c r="N20" s="51"/>
      <c r="O20" s="51"/>
    </row>
    <row r="21" spans="1:15" ht="37.5" customHeight="1">
      <c r="A21" s="51"/>
      <c r="B21" s="51"/>
      <c r="C21" s="51"/>
      <c r="D21" s="51"/>
      <c r="E21" s="51"/>
      <c r="F21" s="51"/>
      <c r="G21" s="51"/>
      <c r="H21" s="51"/>
      <c r="I21" s="51"/>
      <c r="J21" s="51"/>
      <c r="K21" s="51"/>
      <c r="L21" s="51"/>
      <c r="M21" s="51"/>
      <c r="N21" s="51"/>
      <c r="O21" s="51"/>
    </row>
    <row r="22" spans="1:15" hidden="1">
      <c r="A22" s="51"/>
      <c r="B22" s="51"/>
      <c r="C22" s="51"/>
      <c r="D22" s="51"/>
      <c r="E22" s="51"/>
      <c r="F22" s="51"/>
      <c r="G22" s="51"/>
      <c r="H22" s="51"/>
      <c r="I22" s="51"/>
      <c r="J22" s="51"/>
      <c r="K22" s="51"/>
      <c r="L22" s="51"/>
      <c r="M22" s="51"/>
      <c r="N22" s="51"/>
      <c r="O22" s="51"/>
    </row>
    <row r="23" spans="1:15" ht="16.5" hidden="1">
      <c r="A23" s="315" t="s">
        <v>980</v>
      </c>
      <c r="B23" s="315"/>
      <c r="C23" s="51"/>
      <c r="D23" s="51"/>
      <c r="E23" s="51"/>
      <c r="F23" s="51"/>
      <c r="G23" s="51"/>
      <c r="H23" s="51"/>
      <c r="I23" s="51"/>
      <c r="J23" s="51"/>
      <c r="K23" s="51"/>
      <c r="L23" s="51"/>
      <c r="M23" s="51"/>
      <c r="N23" s="51"/>
      <c r="O23" s="51"/>
    </row>
    <row r="24" spans="1:15" ht="16.5" hidden="1">
      <c r="A24" s="316" t="s">
        <v>469</v>
      </c>
      <c r="B24" s="316" t="s">
        <v>981</v>
      </c>
      <c r="C24" s="51"/>
      <c r="D24" s="51"/>
      <c r="E24" s="51"/>
      <c r="F24" s="51"/>
      <c r="G24" s="51"/>
      <c r="H24" s="51"/>
      <c r="I24" s="51"/>
      <c r="J24" s="51"/>
      <c r="K24" s="51"/>
      <c r="L24" s="51"/>
      <c r="M24" s="51"/>
      <c r="N24" s="51"/>
      <c r="O24" s="51"/>
    </row>
    <row r="25" spans="1:15" ht="16.5" hidden="1">
      <c r="A25" s="74" t="s">
        <v>982</v>
      </c>
      <c r="B25" s="75">
        <f ca="1">Sch3.ZeroRateSalesDtlsTO</f>
        <v>0</v>
      </c>
      <c r="C25" s="51"/>
      <c r="D25" s="51"/>
      <c r="E25" s="51"/>
      <c r="F25" s="51"/>
      <c r="G25" s="51"/>
      <c r="H25" s="51"/>
      <c r="I25" s="51"/>
      <c r="J25" s="51"/>
      <c r="K25" s="51"/>
      <c r="L25" s="51"/>
      <c r="M25" s="51"/>
      <c r="N25" s="51"/>
      <c r="O25" s="51"/>
    </row>
    <row r="26" spans="1:15" ht="16.5" hidden="1">
      <c r="A26" s="74" t="s">
        <v>983</v>
      </c>
      <c r="B26" s="75">
        <f>Sch3.ZeroRateSalesExpTO</f>
        <v>0</v>
      </c>
      <c r="C26" s="51"/>
      <c r="D26" s="51"/>
      <c r="E26" s="51"/>
      <c r="F26" s="51"/>
      <c r="G26" s="51"/>
      <c r="H26" s="51"/>
      <c r="I26" s="51"/>
      <c r="J26" s="51"/>
      <c r="K26" s="51"/>
      <c r="L26" s="51"/>
      <c r="M26" s="51"/>
      <c r="N26" s="51"/>
      <c r="O26" s="51"/>
    </row>
    <row r="27" spans="1:15" ht="16.5" hidden="1">
      <c r="A27" s="74" t="s">
        <v>972</v>
      </c>
      <c r="B27" s="75">
        <f ca="1">SUM(B25:B26)</f>
        <v>0</v>
      </c>
      <c r="C27" s="51"/>
      <c r="D27" s="51"/>
      <c r="E27" s="51"/>
      <c r="F27" s="51"/>
      <c r="G27" s="51"/>
      <c r="H27" s="51"/>
      <c r="I27" s="51"/>
      <c r="J27" s="51"/>
      <c r="K27" s="51"/>
      <c r="L27" s="51"/>
      <c r="M27" s="51"/>
      <c r="N27" s="51"/>
      <c r="O27" s="51"/>
    </row>
    <row r="28" spans="1:15" hidden="1">
      <c r="A28" s="51"/>
      <c r="B28" s="51"/>
      <c r="C28" s="51"/>
      <c r="D28" s="51"/>
      <c r="E28" s="51"/>
      <c r="F28" s="51"/>
      <c r="G28" s="51"/>
      <c r="H28" s="51"/>
      <c r="I28" s="51"/>
      <c r="J28" s="51"/>
      <c r="K28" s="51"/>
      <c r="L28" s="51"/>
      <c r="M28" s="51"/>
      <c r="N28" s="51"/>
      <c r="O28" s="51"/>
    </row>
    <row r="29" spans="1:15" hidden="1">
      <c r="A29" s="51"/>
      <c r="B29" s="51"/>
      <c r="C29" s="51"/>
      <c r="D29" s="51"/>
      <c r="E29" s="51"/>
      <c r="F29" s="51"/>
      <c r="G29" s="51"/>
      <c r="H29" s="51"/>
      <c r="I29" s="51"/>
      <c r="J29" s="51"/>
      <c r="K29" s="51"/>
      <c r="L29" s="51"/>
      <c r="M29" s="51"/>
      <c r="N29" s="51"/>
      <c r="O29" s="51"/>
    </row>
    <row r="30" spans="1:15" hidden="1">
      <c r="A30" s="51"/>
      <c r="B30" s="51"/>
      <c r="C30" s="51"/>
      <c r="D30" s="51"/>
      <c r="E30" s="51"/>
      <c r="F30" s="51"/>
      <c r="G30" s="51"/>
      <c r="H30" s="51"/>
      <c r="I30" s="51"/>
      <c r="J30" s="51"/>
      <c r="K30" s="51"/>
      <c r="L30" s="51"/>
      <c r="M30" s="51"/>
      <c r="N30" s="51"/>
      <c r="O30" s="51"/>
    </row>
    <row r="31" spans="1:15" hidden="1">
      <c r="A31" s="51"/>
      <c r="B31" s="51"/>
      <c r="C31" s="51"/>
      <c r="D31" s="51"/>
      <c r="E31" s="51"/>
      <c r="F31" s="51"/>
      <c r="G31" s="51"/>
      <c r="H31" s="51"/>
      <c r="I31" s="51"/>
      <c r="J31" s="51"/>
      <c r="K31" s="51"/>
      <c r="L31" s="51"/>
      <c r="M31" s="51"/>
      <c r="N31" s="51"/>
      <c r="O31" s="51"/>
    </row>
    <row r="32" spans="1:15" hidden="1">
      <c r="A32" s="51"/>
      <c r="B32" s="51"/>
      <c r="C32" s="51"/>
      <c r="D32" s="51"/>
      <c r="E32" s="51"/>
      <c r="F32" s="51"/>
      <c r="G32" s="51"/>
      <c r="H32" s="51"/>
      <c r="I32" s="51"/>
      <c r="J32" s="51"/>
      <c r="K32" s="51"/>
      <c r="L32" s="51"/>
      <c r="M32" s="51"/>
      <c r="N32" s="51"/>
    </row>
    <row r="33" spans="1:14" hidden="1">
      <c r="A33" s="51"/>
      <c r="B33" s="51"/>
      <c r="C33" s="51"/>
      <c r="D33" s="51"/>
      <c r="E33" s="51"/>
      <c r="F33" s="51"/>
      <c r="G33" s="51"/>
      <c r="H33" s="51"/>
      <c r="I33" s="51"/>
      <c r="J33" s="51"/>
      <c r="K33" s="51"/>
      <c r="L33" s="51"/>
      <c r="M33" s="51"/>
      <c r="N33" s="51"/>
    </row>
    <row r="34" spans="1:14" hidden="1">
      <c r="A34" s="51"/>
      <c r="B34" s="51"/>
      <c r="C34" s="51"/>
      <c r="D34" s="51"/>
      <c r="E34" s="51"/>
      <c r="F34" s="51"/>
      <c r="G34" s="51"/>
      <c r="H34" s="51"/>
      <c r="I34" s="51"/>
      <c r="J34" s="51"/>
      <c r="K34" s="51"/>
      <c r="L34" s="51"/>
      <c r="M34" s="51"/>
      <c r="N34" s="51"/>
    </row>
    <row r="35" spans="1:14" hidden="1">
      <c r="A35" s="51"/>
      <c r="B35" s="51"/>
      <c r="C35" s="51"/>
      <c r="D35" s="51"/>
      <c r="E35" s="51"/>
      <c r="F35" s="51"/>
      <c r="G35" s="51"/>
      <c r="H35" s="51"/>
      <c r="I35" s="51"/>
      <c r="J35" s="51"/>
      <c r="K35" s="51"/>
      <c r="L35" s="51"/>
      <c r="M35" s="51"/>
      <c r="N35" s="51"/>
    </row>
    <row r="36" spans="1:14" hidden="1">
      <c r="A36" s="51"/>
      <c r="B36" s="51"/>
      <c r="C36" s="51"/>
      <c r="D36" s="51"/>
      <c r="E36" s="51"/>
      <c r="F36" s="51"/>
      <c r="G36" s="51"/>
      <c r="H36" s="51"/>
      <c r="I36" s="51"/>
      <c r="J36" s="51"/>
      <c r="K36" s="51"/>
      <c r="L36" s="51"/>
      <c r="M36" s="51"/>
      <c r="N36" s="51"/>
    </row>
    <row r="37" spans="1:14" hidden="1">
      <c r="A37" s="51"/>
      <c r="B37" s="51"/>
      <c r="C37" s="51"/>
      <c r="D37" s="51"/>
      <c r="E37" s="51"/>
      <c r="F37" s="51"/>
      <c r="G37" s="51"/>
      <c r="H37" s="51"/>
      <c r="I37" s="51"/>
      <c r="J37" s="51"/>
      <c r="K37" s="51"/>
      <c r="L37" s="51"/>
      <c r="M37" s="51"/>
      <c r="N37" s="51"/>
    </row>
    <row r="38" spans="1:14" hidden="1">
      <c r="A38" s="51"/>
      <c r="B38" s="51"/>
      <c r="C38" s="51"/>
      <c r="D38" s="51"/>
      <c r="E38" s="51"/>
      <c r="F38" s="51"/>
      <c r="G38" s="51"/>
      <c r="H38" s="51"/>
      <c r="I38" s="51"/>
      <c r="J38" s="51"/>
      <c r="K38" s="51"/>
      <c r="L38" s="51"/>
      <c r="M38" s="51"/>
      <c r="N38" s="51"/>
    </row>
    <row r="12861" ht="15" hidden="1" customHeight="1"/>
  </sheetData>
  <sheetProtection algorithmName="SHA-512" hashValue="0aa1dAX239VE1ROqxkyWZtK+5nUAnWKHYhHeaqR0qtWF/AftdVdNjZC4nRSpYzyZADVVVGJWWvzxd9eAAx+tDQ==" saltValue="CZpXvagHh4dZ16YS92R1fQ==" spinCount="100000" sheet="1" objects="1" scenarios="1" selectLockedCells="1"/>
  <mergeCells count="12">
    <mergeCell ref="A12:L12"/>
    <mergeCell ref="A1:J1"/>
    <mergeCell ref="A2:J2"/>
    <mergeCell ref="A6:I6"/>
    <mergeCell ref="A7:I7"/>
    <mergeCell ref="A8:I8"/>
    <mergeCell ref="A23:B23"/>
    <mergeCell ref="A24:B24"/>
    <mergeCell ref="A16:K16"/>
    <mergeCell ref="A17:K17"/>
    <mergeCell ref="A18:K18"/>
    <mergeCell ref="A19:K19"/>
  </mergeCells>
  <dataValidations xWindow="820" yWindow="536" count="15">
    <dataValidation type="textLength" allowBlank="1" showInputMessage="1" showErrorMessage="1" errorTitle="Data Error:" error="Please enter PIN in proper format.  " promptTitle="Alphanumeric:" prompt="Enter 11 digit alphanumeric values for PIN. " sqref="B4:B5 A14:A15">
      <formula1>11</formula1>
      <formula2>11</formula2>
    </dataValidation>
    <dataValidation type="textLength" operator="lessThanOrEqual" allowBlank="1" showInputMessage="1" showErrorMessage="1" errorTitle="Data Error:" error="Please enter alphanumeric value of length less than or equal to 200  characters." promptTitle="Alphanumeric:" prompt="Enter alphanumeric value of length less than or equal to 200  characters.Special characters like Space , - . / : are allowed." sqref="G4:G5 G14:G15">
      <formula1>200</formula1>
      <formula2>0</formula2>
    </dataValidation>
    <dataValidation type="textLength" allowBlank="1" showInputMessage="1" showErrorMessage="1" errorTitle="Data Error:" error="Please enter date value in dd/mm/yyyy format." promptTitle="Date:" prompt="Enter date value in dd/mm/yyyy format." sqref="E4:E5 D14:D15">
      <formula1>10</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C4:C5 B14:B15">
      <formula1>50</formula1>
      <formula2>0</formula2>
    </dataValidation>
    <dataValidation type="textLength" operator="lessThanOrEqual" allowBlank="1" showInputMessage="1" showErrorMessage="1" errorTitle="Data Error:" error="Please enter alphanumeric value of length less than or equal to 40  characters." promptTitle="Alphanumeric:" prompt="Enter alphanumeric value of length less than or equal to 40  characters.Special characters like Space , - . / : are allowed." sqref="E15">
      <formula1>40</formula1>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are not allowed." sqref="D4:D5 I4:I5 H14:H15 C14:C15">
      <formula1>20</formula1>
      <formula2>0</formula2>
    </dataValidation>
    <dataValidation type="decimal" allowBlank="1" showInputMessage="1" showErrorMessage="1" errorTitle="Data Error:" error="Please enter numeric value of length less than or equal to 15 digit." promptTitle="Numeric:" prompt="Enter numeric value of length less than or equal to 15 digit." sqref="J4:J5 J7 L14:L15">
      <formula1>-999999999999999</formula1>
      <formula2>999999999999999</formula2>
    </dataValidation>
    <dataValidation type="list" operator="lessThanOrEqual" allowBlank="1" showInputMessage="1" showErrorMessage="1" errorTitle="Data Error:" error="Please select data from DropDown Only. " promptTitle="List:" prompt="Select data from DropDown List. " sqref="H4:H5 K14:K15">
      <formula1>RelevantPara</formula1>
      <formula2>0</formula2>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 sqref="M4:M5">
      <formula1>20</formula1>
      <formula2>0</formula2>
    </dataValidation>
    <dataValidation type="list" allowBlank="1" showInputMessage="1" showErrorMessage="1" error="Please select data from DropDown Only. " promptTitle="List:" prompt="Select data from DropDown List. " sqref="A4:A5">
      <formula1>TypesOfSales</formula1>
      <formula2>0</formula2>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like space . are allowed." sqref="I14:J15">
      <formula1>20</formula1>
      <formula2>0</formula2>
    </dataValidation>
    <dataValidation type="list" allowBlank="1" showInputMessage="1" showErrorMessage="1" error="Please select data from DropDown Only. " promptTitle="List:" prompt="Select data from DropDown List. " sqref="F14:F15">
      <formula1>IF(OR(AND(VALUE(SecA.RtnYear)=2021,VALUE(SecA.MonthCode)&gt;5),AND(VALUE(SecA.RtnYear)&lt;2023,VALUE(SecA.RtnYear)&gt;2021)),GoodsAndServicesJuly2021, IF(AND(VALUE(SecA.RtnYear)=2023,VALUE(SecA.MonthCode)&lt;=6),GoodsAndServicesJuly2021,GoodsAndServices))</formula1>
    </dataValidation>
    <dataValidation type="textLength" operator="lessThanOrEqual" allowBlank="1" showInputMessage="1" showErrorMessage="1" errorTitle="Data Error:" error="Please enter alphanumeric value of length less than or equal to 40 characters." promptTitle="Alphanumeric:" prompt="Enter alphanumeric value of length less than or equal to 40  characters.Special characters like Space , - . / : are allowed." sqref="F4">
      <formula1>40</formula1>
    </dataValidation>
    <dataValidation type="textLength" operator="lessThanOrEqual" allowBlank="1" showInputMessage="1" showErrorMessage="1" errorTitle="Data Error:" error="Please enter alphanumeric value of length less than or equal to 40 characters." promptTitle="Alphanumeric:" prompt="Enter alphanumeric value of length less than or equal to 40 characters.Special characters like Space , - . / : are allowed." sqref="F5">
      <formula1>40</formula1>
    </dataValidation>
    <dataValidation type="textLength" operator="lessThanOrEqual" allowBlank="1" showInputMessage="1" showErrorMessage="1" errorTitle="Data Error:" error="Please enter alphanumeric value of length less than or equal to 40  characters." promptTitle="Alphanumeric:" prompt="Enter alphanumeric value of length less than or equal to 40 characters.Special characters like Space , - . / : are allowed." sqref="E14">
      <formula1>40</formula1>
    </dataValidation>
  </dataValidations>
  <pageMargins left="0.7" right="0.7" top="0.75" bottom="0.75" header="0.51180555555555551" footer="0.51180555555555551"/>
  <pageSetup paperSize="9" firstPageNumber="0" orientation="portrait" horizontalDpi="300" verticalDpi="300" r:id="rId1"/>
  <headerFooter alignWithMargins="0"/>
  <drawing r:id="rId2"/>
</worksheet>
</file>

<file path=xl/worksheets/sheet12.xml><?xml version="1.0" encoding="utf-8"?>
<worksheet xmlns="http://schemas.openxmlformats.org/spreadsheetml/2006/main" xmlns:r="http://schemas.openxmlformats.org/officeDocument/2006/relationships">
  <sheetPr codeName="Sheet12">
    <tabColor rgb="FF01EBF0"/>
  </sheetPr>
  <dimension ref="A1:H16"/>
  <sheetViews>
    <sheetView workbookViewId="0">
      <selection activeCell="G6" sqref="G6"/>
    </sheetView>
  </sheetViews>
  <sheetFormatPr defaultColWidth="0" defaultRowHeight="15.75" zeroHeight="1"/>
  <cols>
    <col min="1" max="7" width="27.5703125" style="52" customWidth="1"/>
    <col min="8" max="8" width="14.42578125" style="52" customWidth="1"/>
    <col min="9" max="16384" width="0" style="52" hidden="1"/>
  </cols>
  <sheetData>
    <row r="1" spans="1:8" ht="31.5" customHeight="1">
      <c r="A1" s="324" t="s">
        <v>707</v>
      </c>
      <c r="B1" s="324"/>
      <c r="C1" s="324"/>
      <c r="D1" s="324"/>
      <c r="E1" s="324"/>
      <c r="F1" s="324"/>
      <c r="G1" s="324"/>
      <c r="H1" s="51"/>
    </row>
    <row r="2" spans="1:8" ht="33">
      <c r="A2" s="54" t="s">
        <v>577</v>
      </c>
      <c r="B2" s="54" t="s">
        <v>578</v>
      </c>
      <c r="C2" s="54" t="s">
        <v>579</v>
      </c>
      <c r="D2" s="54" t="s">
        <v>580</v>
      </c>
      <c r="E2" s="54" t="s">
        <v>581</v>
      </c>
      <c r="F2" s="54" t="s">
        <v>582</v>
      </c>
      <c r="G2" s="54" t="s">
        <v>984</v>
      </c>
      <c r="H2" s="55" t="s">
        <v>969</v>
      </c>
    </row>
    <row r="3" spans="1:8">
      <c r="A3" s="56"/>
      <c r="B3" s="57"/>
      <c r="C3" s="57"/>
      <c r="D3" s="59"/>
      <c r="E3" s="57"/>
      <c r="F3" s="57"/>
      <c r="G3" s="60"/>
      <c r="H3" s="288" t="str">
        <f>IF(COUNTBLANK(A3:G3)=7,"","EXEMPT")</f>
        <v/>
      </c>
    </row>
    <row r="4" spans="1:8">
      <c r="A4" s="56"/>
      <c r="B4" s="57"/>
      <c r="C4" s="57"/>
      <c r="D4" s="59"/>
      <c r="E4" s="57"/>
      <c r="F4" s="57"/>
      <c r="G4" s="60"/>
      <c r="H4" s="288" t="str">
        <f>IF(COUNTBLANK(A4:G4)=7,"","EXEMPT")</f>
        <v/>
      </c>
    </row>
    <row r="5" spans="1:8" ht="16.5">
      <c r="A5" s="313" t="s">
        <v>975</v>
      </c>
      <c r="B5" s="313"/>
      <c r="C5" s="313"/>
      <c r="D5" s="313"/>
      <c r="E5" s="313"/>
      <c r="F5" s="313"/>
      <c r="G5" s="63">
        <f ca="1">SUM(G3:OFFSET(Sch4.SalesAmtWithPINTO,-1,0))</f>
        <v>0</v>
      </c>
      <c r="H5" s="288" t="str">
        <f>IF(COUNTBLANK(A3:G3)=7,"","data")</f>
        <v/>
      </c>
    </row>
    <row r="6" spans="1:8" ht="16.5">
      <c r="A6" s="313" t="s">
        <v>976</v>
      </c>
      <c r="B6" s="313"/>
      <c r="C6" s="313"/>
      <c r="D6" s="313"/>
      <c r="E6" s="313"/>
      <c r="F6" s="313"/>
      <c r="G6" s="65"/>
      <c r="H6" s="288"/>
    </row>
    <row r="7" spans="1:8" ht="16.5">
      <c r="A7" s="313" t="s">
        <v>972</v>
      </c>
      <c r="B7" s="313"/>
      <c r="C7" s="313"/>
      <c r="D7" s="313"/>
      <c r="E7" s="313"/>
      <c r="F7" s="313"/>
      <c r="G7" s="63">
        <f ca="1">SUM(Sch4.SalesAmtWithPINTO,Sch4.SalesAmtWithoutPINTO)</f>
        <v>0</v>
      </c>
      <c r="H7" s="288"/>
    </row>
    <row r="8" spans="1:8" ht="37.5" customHeight="1">
      <c r="A8" s="51"/>
      <c r="B8" s="51"/>
      <c r="C8" s="51"/>
      <c r="D8" s="51"/>
      <c r="E8" s="51"/>
      <c r="F8" s="51"/>
      <c r="G8" s="51"/>
      <c r="H8" s="234"/>
    </row>
    <row r="9" spans="1:8" ht="37.5" customHeight="1">
      <c r="A9" s="51"/>
      <c r="B9" s="51"/>
      <c r="C9" s="51"/>
      <c r="D9" s="51"/>
      <c r="E9" s="51"/>
      <c r="F9" s="51"/>
      <c r="G9" s="51"/>
      <c r="H9" s="51"/>
    </row>
    <row r="10" spans="1:8" hidden="1">
      <c r="A10" s="51"/>
      <c r="B10" s="51"/>
      <c r="C10" s="51"/>
      <c r="D10" s="51"/>
      <c r="E10" s="51"/>
      <c r="F10" s="51"/>
      <c r="G10" s="51"/>
      <c r="H10" s="51"/>
    </row>
    <row r="11" spans="1:8" hidden="1">
      <c r="A11" s="51"/>
      <c r="B11" s="51"/>
      <c r="C11" s="51"/>
      <c r="D11" s="51"/>
      <c r="E11" s="51"/>
      <c r="F11" s="51"/>
      <c r="G11" s="51"/>
      <c r="H11" s="51"/>
    </row>
    <row r="12" spans="1:8" hidden="1">
      <c r="A12" s="51"/>
      <c r="B12" s="51"/>
      <c r="C12" s="51"/>
      <c r="D12" s="51"/>
      <c r="E12" s="51"/>
      <c r="F12" s="51"/>
      <c r="G12" s="51"/>
      <c r="H12" s="51"/>
    </row>
    <row r="13" spans="1:8" hidden="1">
      <c r="A13" s="51"/>
      <c r="B13" s="51"/>
      <c r="C13" s="51"/>
      <c r="D13" s="51"/>
      <c r="E13" s="51"/>
      <c r="F13" s="51"/>
      <c r="G13" s="51"/>
      <c r="H13" s="51"/>
    </row>
    <row r="14" spans="1:8" hidden="1">
      <c r="A14" s="51"/>
      <c r="B14" s="51"/>
      <c r="C14" s="51"/>
      <c r="D14" s="51"/>
      <c r="E14" s="51"/>
      <c r="F14" s="51"/>
      <c r="G14" s="51"/>
      <c r="H14" s="51"/>
    </row>
    <row r="15" spans="1:8" hidden="1">
      <c r="A15" s="51"/>
      <c r="B15" s="51"/>
      <c r="C15" s="51"/>
      <c r="D15" s="51"/>
      <c r="E15" s="51"/>
      <c r="F15" s="51"/>
      <c r="G15" s="51"/>
      <c r="H15" s="51"/>
    </row>
    <row r="16" spans="1:8" hidden="1">
      <c r="A16" s="51"/>
      <c r="B16" s="51"/>
      <c r="C16" s="51"/>
      <c r="D16" s="51"/>
      <c r="E16" s="51"/>
      <c r="F16" s="51"/>
      <c r="G16" s="51"/>
      <c r="H16" s="51"/>
    </row>
  </sheetData>
  <sheetProtection algorithmName="SHA-512" hashValue="icEL/E1vEMcX9iOigkupxDX0bftEubUHqIwwpToYdk7ceiZ3xnp47zSYKn5bFvY9Lql05DkYBbpyXIslwLcWrg==" saltValue="ZhasHZBUY2/fnfg8CPoY9g==" spinCount="100000" sheet="1" objects="1" scenarios="1" selectLockedCells="1"/>
  <mergeCells count="4">
    <mergeCell ref="A1:G1"/>
    <mergeCell ref="A5:F5"/>
    <mergeCell ref="A6:F6"/>
    <mergeCell ref="A7:F7"/>
  </mergeCells>
  <dataValidations xWindow="1070" yWindow="565" count="8">
    <dataValidation type="decimal" allowBlank="1" showInputMessage="1" showErrorMessage="1" errorTitle="Data Error:" error="Please Enter numeric value of length less than or equal to 15 digit." promptTitle="Numeric:" prompt="Enter numeric value of length less than or equal to 15 digit." sqref="G6">
      <formula1>-999999999999999</formula1>
      <formula2>999999999999999</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textLength" operator="lessThanOrEqual" allowBlank="1" showInputMessage="1" showErrorMessage="1" errorTitle="Data Error:" error="Please enter alphanumeric value of length less than or equal to 200  characters." promptTitle="Alphanumeric:" prompt="Enter alphanumeric value of length less than or equal to 200  characters.Special characters like Space , - . / : are allowed." sqref="F3:F4">
      <formula1>200</formula1>
      <formula2>0</formula2>
    </dataValidation>
    <dataValidation type="textLength" allowBlank="1" showInputMessage="1" showErrorMessage="1" errorTitle="Data Error:" error="Please enter date value in dd/mm/yyyy format." promptTitle="Date:" prompt="Enter date value in dd/mm/yyyy format." sqref="D3:D4">
      <formula1>10</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B3:B4">
      <formula1>50</formula1>
      <formula2>0</formula2>
    </dataValidation>
    <dataValidation type="textLength" operator="lessThanOrEqual" allowBlank="1" showInputMessage="1" showErrorMessage="1" errorTitle="Data Error:" error="Please enter alphanumeric value of length less than or equal to 40  characters." promptTitle="Alphanumeric:" prompt="Enter alphanumeric value of length less than or equal to 40  characters.Special characters like Space , - . / : are allowed." sqref="E3:E4">
      <formula1>40</formula1>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are not allowed." sqref="C3:C4">
      <formula1>20</formula1>
      <formula2>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G3:G4">
      <formula1>-999999999999999</formula1>
      <formula2>999999999999999</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3.xml><?xml version="1.0" encoding="utf-8"?>
<worksheet xmlns="http://schemas.openxmlformats.org/spreadsheetml/2006/main" xmlns:r="http://schemas.openxmlformats.org/officeDocument/2006/relationships">
  <sheetPr codeName="Sheet13">
    <tabColor rgb="FFA9C000"/>
  </sheetPr>
  <dimension ref="A1:S14"/>
  <sheetViews>
    <sheetView workbookViewId="0">
      <selection activeCell="C3" sqref="C3"/>
    </sheetView>
  </sheetViews>
  <sheetFormatPr defaultColWidth="0" defaultRowHeight="15.75" zeroHeight="1"/>
  <cols>
    <col min="1" max="8" width="27.5703125" style="76" customWidth="1"/>
    <col min="9" max="9" width="31.42578125" style="76" customWidth="1"/>
    <col min="10" max="11" width="27.5703125" style="77" customWidth="1"/>
    <col min="12" max="12" width="9" style="77" customWidth="1"/>
    <col min="13" max="14" width="3" style="77" customWidth="1"/>
    <col min="15" max="15" width="2.85546875" style="77" customWidth="1"/>
    <col min="16" max="18" width="2.5703125" style="77" customWidth="1"/>
    <col min="19" max="19" width="3" style="77" customWidth="1"/>
    <col min="20" max="16384" width="0" style="76" hidden="1"/>
  </cols>
  <sheetData>
    <row r="1" spans="1:19" ht="31.5" customHeight="1">
      <c r="A1" s="314" t="s">
        <v>985</v>
      </c>
      <c r="B1" s="314"/>
      <c r="C1" s="314"/>
      <c r="D1" s="314"/>
      <c r="E1" s="314"/>
      <c r="F1" s="314"/>
      <c r="G1" s="314"/>
      <c r="H1" s="314"/>
      <c r="I1" s="314"/>
      <c r="J1" s="314"/>
      <c r="K1" s="314"/>
      <c r="L1" s="78"/>
      <c r="M1" s="79"/>
      <c r="N1" s="79"/>
      <c r="O1" s="79"/>
      <c r="P1" s="79"/>
      <c r="Q1" s="79"/>
      <c r="R1" s="79"/>
      <c r="S1" s="79"/>
    </row>
    <row r="2" spans="1:19" ht="36" customHeight="1">
      <c r="A2" s="54" t="s">
        <v>728</v>
      </c>
      <c r="B2" s="54" t="s">
        <v>729</v>
      </c>
      <c r="C2" s="54" t="s">
        <v>730</v>
      </c>
      <c r="D2" s="54" t="s">
        <v>580</v>
      </c>
      <c r="E2" s="54" t="s">
        <v>581</v>
      </c>
      <c r="F2" s="54" t="s">
        <v>582</v>
      </c>
      <c r="G2" s="54" t="s">
        <v>678</v>
      </c>
      <c r="H2" s="54" t="s">
        <v>968</v>
      </c>
      <c r="I2" s="67" t="s">
        <v>1234</v>
      </c>
      <c r="J2" s="67" t="s">
        <v>585</v>
      </c>
      <c r="K2" s="67" t="s">
        <v>586</v>
      </c>
      <c r="L2" s="78"/>
      <c r="M2" s="79" t="s">
        <v>969</v>
      </c>
      <c r="N2" s="79"/>
      <c r="O2" s="80"/>
      <c r="P2" s="80"/>
      <c r="Q2" s="80"/>
      <c r="R2" s="80"/>
      <c r="S2" s="80"/>
    </row>
    <row r="3" spans="1:19" s="84" customFormat="1" ht="16.5">
      <c r="A3" s="69"/>
      <c r="B3" s="291"/>
      <c r="C3" s="82"/>
      <c r="D3" s="59"/>
      <c r="E3" s="82"/>
      <c r="F3" s="81"/>
      <c r="G3" s="276"/>
      <c r="H3" s="83"/>
      <c r="I3" s="61" t="str">
        <f>IF(H3&lt;&gt;"",
IF(
AND(R3&gt;="04",S3="2020"),
14*H3/100,
16*H3/100),
"")</f>
        <v/>
      </c>
      <c r="J3" s="274"/>
      <c r="K3" s="275"/>
      <c r="L3" s="80" t="str">
        <f>IF(ISERROR(LOOKUP(A3,SortedTypesOfPurchases,SortedTypesOdPurchasesCode)),"",LOOKUP(A3,SortedTypesOfPurchases,SortedTypesOdPurchasesCode))</f>
        <v/>
      </c>
      <c r="M3" s="80" t="str">
        <f>IF(COUNTBLANK(C3:I3)=7,"","GNRL")</f>
        <v/>
      </c>
      <c r="N3" s="80">
        <v>14</v>
      </c>
      <c r="O3" s="80" t="str">
        <f>IF(H3&gt;0,CONCATENATE(B3,E3,D3),"")</f>
        <v/>
      </c>
      <c r="P3" s="80" t="str">
        <f>CONCATENATE(B3,J3,K3)</f>
        <v/>
      </c>
      <c r="Q3" s="80" t="str">
        <f ca="1">IF(H3&lt;0,IF(NOT(ISERROR(MATCH(P3,$O$3:OFFSET(SearchOffset_Section_F,-1,0),0))),"","E"),"")</f>
        <v/>
      </c>
      <c r="R3" s="286" t="str">
        <f>IF(H3&lt;&gt;"",IF(H3&lt;0,MID(K3,4,2),MID(D3,4,2)),"")</f>
        <v/>
      </c>
      <c r="S3" s="286" t="str">
        <f>IF(H3&lt;&gt;"",IF(H3&lt;0,RIGHT(K3,4),RIGHT(D3,4)),"")</f>
        <v/>
      </c>
    </row>
    <row r="4" spans="1:19" s="84" customFormat="1" ht="16.5">
      <c r="A4" s="57"/>
      <c r="B4" s="274"/>
      <c r="C4" s="82"/>
      <c r="D4" s="59"/>
      <c r="E4" s="82"/>
      <c r="F4" s="82"/>
      <c r="G4" s="274"/>
      <c r="H4" s="83"/>
      <c r="I4" s="61" t="str">
        <f>IF(H4&lt;&gt;"",
IF(
AND(R4&gt;="04",S4="2020"),
14*H4/100,
16*H4/100),
"")</f>
        <v/>
      </c>
      <c r="J4" s="274"/>
      <c r="K4" s="200"/>
      <c r="L4" s="80" t="str">
        <f>IF(ISERROR(LOOKUP(A4,SortedTypesOfPurchases,SortedTypesOdPurchasesCode)),"",LOOKUP(A4,SortedTypesOfPurchases,SortedTypesOdPurchasesCode))</f>
        <v/>
      </c>
      <c r="M4" s="80" t="str">
        <f>IF(COUNTBLANK(C4:I4)=7,"","GNRL")</f>
        <v/>
      </c>
      <c r="N4" s="80">
        <v>16</v>
      </c>
      <c r="O4" s="80" t="str">
        <f>IF(H4&gt;0,CONCATENATE(B4,E4,D4),"")</f>
        <v/>
      </c>
      <c r="P4" s="80" t="str">
        <f>CONCATENATE(B4,J4,K4)</f>
        <v/>
      </c>
      <c r="Q4" s="80" t="str">
        <f ca="1">IF(H4&lt;0,IF(NOT(ISERROR(MATCH(P4,$O$3:OFFSET(SearchOffset_Section_F,-1,0),0))),"","E"),"")</f>
        <v/>
      </c>
      <c r="R4" s="80" t="str">
        <f>IF(H4&lt;&gt;"",IF(H4&lt;0,MID(K4,4,2),MID(D4,4,2)),"")</f>
        <v/>
      </c>
      <c r="S4" s="80" t="str">
        <f>IF(H4&lt;&gt;"",IF(H4&lt;0,RIGHT(K4,4),RIGHT(D4,4)),"")</f>
        <v/>
      </c>
    </row>
    <row r="5" spans="1:19" ht="16.5">
      <c r="A5" s="313" t="s">
        <v>986</v>
      </c>
      <c r="B5" s="313"/>
      <c r="C5" s="313"/>
      <c r="D5" s="313"/>
      <c r="E5" s="313"/>
      <c r="F5" s="313"/>
      <c r="G5" s="313"/>
      <c r="H5" s="63">
        <f>SUMIF(Purchases,"&lt;&gt;Import",AmtBfrVAT)</f>
        <v>0</v>
      </c>
      <c r="I5" s="61">
        <f>SUMIF(Purchases,"&lt;&gt;Import",AmtBfrVATRate)</f>
        <v>0</v>
      </c>
      <c r="J5" s="85"/>
      <c r="K5" s="85"/>
      <c r="L5" s="79"/>
      <c r="M5" s="79"/>
      <c r="N5" s="79"/>
      <c r="O5" s="79"/>
      <c r="P5" s="79"/>
      <c r="Q5" s="79"/>
      <c r="R5" s="79"/>
      <c r="S5" s="79"/>
    </row>
    <row r="6" spans="1:19" ht="16.5">
      <c r="A6" s="313" t="s">
        <v>987</v>
      </c>
      <c r="B6" s="313"/>
      <c r="C6" s="313"/>
      <c r="D6" s="313"/>
      <c r="E6" s="313"/>
      <c r="F6" s="313"/>
      <c r="G6" s="313"/>
      <c r="H6" s="63">
        <f>SUMIF(Purchases,"=Import",AmtBfrVAT)</f>
        <v>0</v>
      </c>
      <c r="I6" s="61">
        <f>SUMIF(Purchases,"=Import",AmtBfrVATRate)</f>
        <v>0</v>
      </c>
      <c r="J6" s="85"/>
      <c r="K6" s="85"/>
      <c r="L6" s="79"/>
      <c r="M6" s="79"/>
      <c r="N6" s="79"/>
      <c r="O6" s="79"/>
      <c r="P6" s="79"/>
      <c r="Q6" s="79"/>
      <c r="R6" s="79"/>
      <c r="S6" s="79"/>
    </row>
    <row r="7" spans="1:19" ht="18" customHeight="1">
      <c r="A7" s="313" t="s">
        <v>972</v>
      </c>
      <c r="B7" s="313"/>
      <c r="C7" s="313"/>
      <c r="D7" s="313"/>
      <c r="E7" s="313"/>
      <c r="F7" s="313"/>
      <c r="G7" s="313"/>
      <c r="H7" s="63">
        <f>SUM(Sch5.AmtBfrVATWithPINTO,Sch5.AmtBfrVATWithoutPINTO)</f>
        <v>0</v>
      </c>
      <c r="I7" s="61">
        <f>SUM(Sch5.AmtVATWithPINTO,Sch5.AmtVATWithoutPINTO)</f>
        <v>0</v>
      </c>
      <c r="J7" s="85"/>
      <c r="K7" s="85"/>
      <c r="L7" s="79"/>
      <c r="M7" s="79"/>
      <c r="N7" s="79"/>
      <c r="O7" s="79"/>
      <c r="P7" s="79"/>
      <c r="Q7" s="79"/>
      <c r="R7" s="79"/>
      <c r="S7" s="79"/>
    </row>
    <row r="8" spans="1:19" ht="37.5" customHeight="1">
      <c r="A8" s="86"/>
      <c r="B8" s="86"/>
      <c r="C8" s="86"/>
      <c r="D8" s="86"/>
      <c r="E8" s="277"/>
      <c r="F8" s="86"/>
      <c r="G8" s="86"/>
      <c r="H8" s="86"/>
      <c r="I8" s="86"/>
      <c r="J8" s="86"/>
      <c r="K8" s="86"/>
      <c r="L8" s="79"/>
      <c r="M8" s="79"/>
      <c r="N8" s="79"/>
      <c r="O8" s="79"/>
      <c r="P8" s="79"/>
      <c r="Q8" s="79"/>
      <c r="R8" s="79"/>
      <c r="S8" s="79"/>
    </row>
    <row r="9" spans="1:19" ht="37.5" customHeight="1">
      <c r="A9" s="86"/>
      <c r="B9" s="86"/>
      <c r="C9" s="86"/>
      <c r="D9" s="86"/>
      <c r="E9" s="86"/>
      <c r="F9" s="86"/>
      <c r="G9" s="86"/>
      <c r="H9" s="86"/>
      <c r="I9" s="86"/>
      <c r="J9" s="86"/>
      <c r="K9" s="86"/>
      <c r="L9" s="79"/>
      <c r="M9" s="79"/>
      <c r="N9" s="79"/>
      <c r="O9" s="79"/>
      <c r="P9" s="79"/>
      <c r="Q9" s="79"/>
      <c r="R9" s="79"/>
      <c r="S9" s="79"/>
    </row>
    <row r="10" spans="1:19" hidden="1">
      <c r="A10" s="86"/>
      <c r="B10" s="86"/>
      <c r="C10" s="86"/>
      <c r="D10" s="86"/>
      <c r="E10" s="86"/>
      <c r="F10" s="86"/>
      <c r="G10" s="86"/>
      <c r="H10" s="86"/>
      <c r="I10" s="86"/>
      <c r="J10" s="86"/>
      <c r="K10" s="86"/>
      <c r="L10" s="79"/>
      <c r="M10" s="79"/>
      <c r="N10" s="79"/>
      <c r="O10" s="79"/>
      <c r="P10" s="79"/>
      <c r="Q10" s="79"/>
      <c r="R10" s="79"/>
      <c r="S10" s="79"/>
    </row>
    <row r="11" spans="1:19" hidden="1">
      <c r="A11" s="86"/>
      <c r="B11" s="86"/>
      <c r="C11" s="86"/>
      <c r="D11" s="86"/>
      <c r="E11" s="86"/>
      <c r="F11" s="86"/>
      <c r="G11" s="86"/>
      <c r="H11" s="86"/>
      <c r="I11" s="86"/>
      <c r="J11" s="86"/>
      <c r="K11" s="86"/>
      <c r="L11" s="79"/>
      <c r="M11" s="79"/>
      <c r="N11" s="79"/>
      <c r="O11" s="79"/>
      <c r="P11" s="79"/>
      <c r="Q11" s="79"/>
      <c r="R11" s="79"/>
      <c r="S11" s="79"/>
    </row>
    <row r="12" spans="1:19" hidden="1">
      <c r="A12" s="86"/>
      <c r="B12" s="86"/>
      <c r="C12" s="86"/>
      <c r="D12" s="86"/>
      <c r="E12" s="86"/>
      <c r="F12" s="86"/>
      <c r="G12" s="86"/>
      <c r="H12" s="86"/>
      <c r="I12" s="86"/>
      <c r="J12" s="86"/>
      <c r="K12" s="86"/>
      <c r="L12" s="79"/>
      <c r="M12" s="79"/>
      <c r="N12" s="79"/>
      <c r="O12" s="79"/>
      <c r="P12" s="79"/>
      <c r="Q12" s="79"/>
      <c r="R12" s="79"/>
      <c r="S12" s="79"/>
    </row>
    <row r="13" spans="1:19" hidden="1">
      <c r="A13" s="86"/>
      <c r="B13" s="86"/>
      <c r="C13" s="86"/>
      <c r="D13" s="86"/>
      <c r="E13" s="86"/>
      <c r="F13" s="86"/>
      <c r="G13" s="86"/>
      <c r="H13" s="86"/>
      <c r="I13" s="86"/>
      <c r="J13" s="86"/>
      <c r="K13" s="86"/>
      <c r="L13" s="79"/>
      <c r="M13" s="79"/>
      <c r="N13" s="79"/>
      <c r="O13" s="79"/>
      <c r="P13" s="79"/>
      <c r="Q13" s="79"/>
      <c r="R13" s="79"/>
      <c r="S13" s="79"/>
    </row>
    <row r="14" spans="1:19" hidden="1">
      <c r="A14" s="86"/>
      <c r="B14" s="86"/>
      <c r="C14" s="86"/>
      <c r="D14" s="86"/>
      <c r="E14" s="86"/>
      <c r="F14" s="86"/>
      <c r="G14" s="86"/>
      <c r="H14" s="86"/>
      <c r="I14" s="86"/>
      <c r="J14" s="86"/>
      <c r="K14" s="86"/>
    </row>
  </sheetData>
  <sheetProtection password="94AB" sheet="1" objects="1" scenarios="1" selectLockedCells="1"/>
  <mergeCells count="4">
    <mergeCell ref="A1:K1"/>
    <mergeCell ref="A5:G5"/>
    <mergeCell ref="A6:G6"/>
    <mergeCell ref="A7:G7"/>
  </mergeCells>
  <dataValidations xWindow="120" yWindow="491" count="9">
    <dataValidation type="textLength" allowBlank="1" showInputMessage="1" showErrorMessage="1" errorTitle="Data Error:" error="Please enter PIN in proper format.  " promptTitle="Alphanumeric:" prompt="Enter 11 digit alphanumeric values for PIN. " sqref="B3:B4">
      <formula1>11</formula1>
      <formula2>11</formula2>
    </dataValidation>
    <dataValidation type="textLength" operator="lessThanOrEqual" allowBlank="1" showInputMessage="1" showErrorMessage="1" errorTitle="Data Error:" error="Please enter alphanumeric value of length less than or equal to 200  characters." promptTitle="Alphanumeric:" prompt="Enter alphanumeric value of length less than or equal to 200  characters.Special characters like Space , - . / : are allowed." sqref="F3:F4">
      <formula1>200</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C3:C4">
      <formula1>50</formula1>
      <formula2>0</formula2>
    </dataValidation>
    <dataValidation type="textLength" operator="lessThanOrEqual" allowBlank="1" showInputMessage="1" showErrorMessage="1" errorTitle="Data Error:" error="Please enter alphanumeric value of length less than or equal to 40  characters." promptTitle="Alphanumeric:" prompt="Enter alphanumeric value of length less than or equal to 40  characters.Special characters like Space , - . / : are allowed." sqref="J3:J4 E3:E4">
      <formula1>40</formula1>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are not allowed." sqref="G3:G4">
      <formula1>20</formula1>
      <formula2>0</formula2>
    </dataValidation>
    <dataValidation type="decimal" allowBlank="1" showInputMessage="1" showErrorMessage="1" errorTitle="Data Error:" error="Please Enter numeric value of length less than or equal to 15 digit." promptTitle="Numeric:" prompt="Enter numeric value of length less than or equal to 15 digit." sqref="H3:H4">
      <formula1>-1000000000000000</formula1>
      <formula2>999999999999999</formula2>
    </dataValidation>
    <dataValidation type="textLength" allowBlank="1" showInputMessage="1" showErrorMessage="1" errorTitle="Data Error:" error="Please enter date value in dd/mm/yyyy format." promptTitle="Date:" prompt="Enter date value in dd/mm/yyyy format." sqref="K3:K4 D3:D4">
      <formula1>8</formula1>
      <formula2>10</formula2>
    </dataValidation>
    <dataValidation type="list" allowBlank="1" showInputMessage="1" showErrorMessage="1" error="Please select data from DropDown Only. " promptTitle="List:" prompt="Select data from DropDown List. " sqref="A3:A4">
      <formula1>IF(OR(AND(VALUE(SecA.RtnYear)=2021,VALUE(SecA.MonthCode)&lt;=6),VALUE(SecA.RtnYear)&lt;2021),TypesOfPurchases,TypesOfPurchasesJul2021)</formula1>
    </dataValidation>
    <dataValidation allowBlank="1" errorTitle="Data Error:" error="Please enter Excise Duty which should always be less than Amount Before Tax and length should be upto 15 digits only." promptTitle="Numeric:" prompt="Enter numeric value of length less than or equal to 15 digit." sqref="I3:I7">
      <formula1>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4.xml><?xml version="1.0" encoding="utf-8"?>
<worksheet xmlns="http://schemas.openxmlformats.org/spreadsheetml/2006/main" xmlns:r="http://schemas.openxmlformats.org/officeDocument/2006/relationships">
  <sheetPr codeName="Sheet14">
    <tabColor rgb="FFA9C000"/>
  </sheetPr>
  <dimension ref="A1:Q18"/>
  <sheetViews>
    <sheetView workbookViewId="0">
      <selection activeCell="A3" sqref="A3"/>
    </sheetView>
  </sheetViews>
  <sheetFormatPr defaultColWidth="0" defaultRowHeight="15.75" zeroHeight="1"/>
  <cols>
    <col min="1" max="11" width="27.5703125" style="39" customWidth="1"/>
    <col min="12" max="12" width="3" style="87" customWidth="1"/>
    <col min="13" max="13" width="3" style="52" customWidth="1"/>
    <col min="14" max="14" width="2.5703125" style="52" customWidth="1"/>
    <col min="15" max="15" width="3.5703125" style="52" customWidth="1"/>
    <col min="16" max="16" width="3.140625" style="52" customWidth="1"/>
    <col min="17" max="17" width="2.42578125" style="52" customWidth="1"/>
    <col min="18" max="16384" width="0" style="52" hidden="1"/>
  </cols>
  <sheetData>
    <row r="1" spans="1:17" ht="31.5" customHeight="1">
      <c r="A1" s="310" t="s">
        <v>988</v>
      </c>
      <c r="B1" s="310"/>
      <c r="C1" s="310"/>
      <c r="D1" s="310"/>
      <c r="E1" s="310"/>
      <c r="F1" s="310"/>
      <c r="G1" s="310"/>
      <c r="H1" s="310"/>
      <c r="I1" s="310"/>
      <c r="J1" s="310"/>
      <c r="K1" s="310"/>
      <c r="L1" s="88"/>
      <c r="M1" s="87"/>
      <c r="N1" s="87"/>
      <c r="O1" s="87"/>
      <c r="P1" s="87"/>
      <c r="Q1" s="87"/>
    </row>
    <row r="2" spans="1:17" s="76" customFormat="1" ht="36" customHeight="1">
      <c r="A2" s="54" t="s">
        <v>728</v>
      </c>
      <c r="B2" s="54" t="s">
        <v>729</v>
      </c>
      <c r="C2" s="54" t="s">
        <v>730</v>
      </c>
      <c r="D2" s="54" t="s">
        <v>580</v>
      </c>
      <c r="E2" s="54" t="s">
        <v>581</v>
      </c>
      <c r="F2" s="54" t="s">
        <v>582</v>
      </c>
      <c r="G2" s="54" t="s">
        <v>678</v>
      </c>
      <c r="H2" s="54" t="s">
        <v>968</v>
      </c>
      <c r="I2" s="67" t="s">
        <v>1212</v>
      </c>
      <c r="J2" s="67" t="s">
        <v>585</v>
      </c>
      <c r="K2" s="67" t="s">
        <v>586</v>
      </c>
      <c r="L2" s="88"/>
      <c r="M2" s="87" t="s">
        <v>969</v>
      </c>
      <c r="N2" s="87"/>
      <c r="O2" s="87"/>
      <c r="P2" s="87"/>
      <c r="Q2" s="87"/>
    </row>
    <row r="3" spans="1:17" s="84" customFormat="1" ht="16.5">
      <c r="A3" s="297"/>
      <c r="B3" s="296"/>
      <c r="C3" s="296"/>
      <c r="D3" s="298"/>
      <c r="E3" s="296"/>
      <c r="F3" s="299"/>
      <c r="G3" s="296"/>
      <c r="H3" s="300"/>
      <c r="I3" s="61" t="str">
        <f>IF(H3&lt;&gt;"",H3*8/100,"")</f>
        <v/>
      </c>
      <c r="J3" s="274"/>
      <c r="K3" s="275"/>
      <c r="L3" s="51" t="str">
        <f>IF(ISERROR(LOOKUP(A3,SortedTypesOfPurchases,SortedTypesOdPurchasesCode)),"",LOOKUP(A3,SortedTypesOfPurchases,SortedTypesOdPurchasesCode))</f>
        <v/>
      </c>
      <c r="M3" s="51" t="str">
        <f>IF(COUNTBLANK(C3:I3)=7,"","OTHR")</f>
        <v/>
      </c>
      <c r="N3" s="51"/>
      <c r="O3" s="80" t="str">
        <f>IF(H3&gt;0,CONCATENATE(B3,E3,D3),"")</f>
        <v/>
      </c>
      <c r="P3" s="80" t="str">
        <f>CONCATENATE(B3,J3,K3)</f>
        <v/>
      </c>
      <c r="Q3" s="80" t="str">
        <f ca="1">IF(H3&lt;0,IF(NOT(ISERROR(MATCH(P3,$O$3:OFFSET(SearchOffset_Section_G,-1,0),0))),"","E"),"")</f>
        <v/>
      </c>
    </row>
    <row r="4" spans="1:17" s="84" customFormat="1" ht="16.5">
      <c r="A4" s="295"/>
      <c r="B4" s="296"/>
      <c r="C4" s="296"/>
      <c r="D4" s="298"/>
      <c r="E4" s="296"/>
      <c r="F4" s="296"/>
      <c r="G4" s="296"/>
      <c r="H4" s="300"/>
      <c r="I4" s="61" t="str">
        <f>IF(H4&lt;&gt;"",H4*8/100,"")</f>
        <v/>
      </c>
      <c r="J4" s="274"/>
      <c r="K4" s="200"/>
      <c r="L4" s="51" t="str">
        <f>IF(ISERROR(LOOKUP(A4,SortedTypesOfPurchases,SortedTypesOdPurchasesCode)),"",LOOKUP(A4,SortedTypesOfPurchases,SortedTypesOdPurchasesCode))</f>
        <v/>
      </c>
      <c r="M4" s="51" t="str">
        <f>IF(COUNTBLANK(C4:I4)=7,"","OTHR")</f>
        <v/>
      </c>
      <c r="N4" s="51"/>
      <c r="O4" s="80" t="str">
        <f>IF(H4&gt;0,CONCATENATE(B4,E4,D4),"")</f>
        <v/>
      </c>
      <c r="P4" s="80" t="str">
        <f>CONCATENATE(B4,J4,K4)</f>
        <v/>
      </c>
      <c r="Q4" s="80" t="str">
        <f ca="1">IF(H4&lt;0,IF(NOT(ISERROR(MATCH(P4,$O$3:OFFSET(SearchOffset_Section_G,-1,0),0))),"","E"),"")</f>
        <v/>
      </c>
    </row>
    <row r="5" spans="1:17" s="76" customFormat="1" ht="16.5">
      <c r="A5" s="313" t="s">
        <v>986</v>
      </c>
      <c r="B5" s="313"/>
      <c r="C5" s="313"/>
      <c r="D5" s="313"/>
      <c r="E5" s="313"/>
      <c r="F5" s="313"/>
      <c r="G5" s="313"/>
      <c r="H5" s="63">
        <f>SUMIF(PurchasesOther,"=Local",AmtBfrVATOth)</f>
        <v>0</v>
      </c>
      <c r="I5" s="61">
        <f>IF(H5&lt;&gt;"",H5*8/100,"")</f>
        <v>0</v>
      </c>
      <c r="J5" s="89"/>
      <c r="K5" s="89"/>
      <c r="L5" s="87"/>
      <c r="M5" s="87"/>
      <c r="N5" s="87"/>
      <c r="O5" s="80"/>
      <c r="P5" s="80"/>
      <c r="Q5" s="80"/>
    </row>
    <row r="6" spans="1:17" s="76" customFormat="1" ht="16.5">
      <c r="A6" s="313" t="s">
        <v>987</v>
      </c>
      <c r="B6" s="313"/>
      <c r="C6" s="313"/>
      <c r="D6" s="313"/>
      <c r="E6" s="313"/>
      <c r="F6" s="313"/>
      <c r="G6" s="313"/>
      <c r="H6" s="63">
        <f>SUMIF(PurchasesOther,"=Import",AmtBfrVATOth)</f>
        <v>0</v>
      </c>
      <c r="I6" s="61">
        <f>IF(H6&lt;&gt;"",H6*8/100,"")</f>
        <v>0</v>
      </c>
      <c r="J6" s="89"/>
      <c r="K6" s="89"/>
      <c r="L6" s="87"/>
      <c r="M6" s="87"/>
      <c r="N6" s="87"/>
      <c r="O6" s="87"/>
      <c r="P6" s="87"/>
      <c r="Q6" s="87"/>
    </row>
    <row r="7" spans="1:17" s="76" customFormat="1" ht="16.5">
      <c r="A7" s="313" t="s">
        <v>972</v>
      </c>
      <c r="B7" s="313"/>
      <c r="C7" s="313"/>
      <c r="D7" s="313"/>
      <c r="E7" s="313"/>
      <c r="F7" s="313"/>
      <c r="G7" s="313"/>
      <c r="H7" s="63">
        <f>SUM(Sch6.AmtBfrVATWithPINTO,Sch6.AmtBfrVATWithoutPINTO)</f>
        <v>0</v>
      </c>
      <c r="I7" s="61">
        <f>SUM(Sch6.AmtVATWithPINTO,Sch6.AmtVATWithoutPINTO)</f>
        <v>0</v>
      </c>
      <c r="J7" s="89"/>
      <c r="K7" s="89"/>
      <c r="L7" s="87"/>
      <c r="M7" s="87"/>
      <c r="N7" s="87"/>
      <c r="O7" s="87"/>
      <c r="P7" s="87"/>
      <c r="Q7" s="87"/>
    </row>
    <row r="8" spans="1:17" ht="37.5" customHeight="1">
      <c r="A8" s="90"/>
      <c r="B8" s="90"/>
      <c r="C8" s="90"/>
      <c r="D8" s="90"/>
      <c r="E8" s="90"/>
      <c r="F8" s="90"/>
      <c r="G8" s="90"/>
      <c r="H8" s="90"/>
      <c r="I8" s="90"/>
      <c r="J8" s="90"/>
      <c r="K8" s="90"/>
      <c r="M8" s="87"/>
      <c r="N8" s="87"/>
      <c r="O8" s="87"/>
      <c r="P8" s="87"/>
      <c r="Q8" s="87"/>
    </row>
    <row r="9" spans="1:17" ht="37.5" customHeight="1">
      <c r="A9" s="90"/>
      <c r="B9" s="90"/>
      <c r="C9" s="90"/>
      <c r="D9" s="90"/>
      <c r="E9" s="90"/>
      <c r="F9" s="90"/>
      <c r="G9" s="90"/>
      <c r="H9" s="90"/>
      <c r="I9" s="90"/>
      <c r="J9" s="90"/>
      <c r="K9" s="90"/>
      <c r="M9" s="87"/>
      <c r="N9" s="87"/>
      <c r="O9" s="87"/>
      <c r="P9" s="87"/>
      <c r="Q9" s="87"/>
    </row>
    <row r="10" spans="1:17" hidden="1">
      <c r="A10" s="90"/>
      <c r="B10" s="90"/>
      <c r="C10" s="90"/>
      <c r="D10" s="90"/>
      <c r="E10" s="90"/>
      <c r="F10" s="90"/>
      <c r="G10" s="90"/>
      <c r="H10" s="90"/>
      <c r="I10" s="90"/>
      <c r="J10" s="90"/>
      <c r="K10" s="90"/>
      <c r="M10" s="87"/>
      <c r="N10" s="87"/>
      <c r="O10" s="87"/>
      <c r="P10" s="87"/>
      <c r="Q10" s="87"/>
    </row>
    <row r="11" spans="1:17" hidden="1">
      <c r="A11" s="90"/>
      <c r="B11" s="90"/>
      <c r="C11" s="90"/>
      <c r="D11" s="90"/>
      <c r="E11" s="90"/>
      <c r="F11" s="90"/>
      <c r="G11" s="90"/>
      <c r="H11" s="90"/>
      <c r="I11" s="90"/>
      <c r="J11" s="90"/>
      <c r="K11" s="90"/>
      <c r="M11" s="87"/>
      <c r="N11" s="87"/>
      <c r="O11" s="87"/>
      <c r="P11" s="87"/>
      <c r="Q11" s="87"/>
    </row>
    <row r="12" spans="1:17" hidden="1">
      <c r="A12" s="90"/>
      <c r="B12" s="90"/>
      <c r="C12" s="90"/>
      <c r="D12" s="90"/>
      <c r="E12" s="90"/>
      <c r="F12" s="90"/>
      <c r="G12" s="90"/>
      <c r="H12" s="90"/>
      <c r="I12" s="90"/>
      <c r="J12" s="90"/>
      <c r="K12" s="90"/>
      <c r="M12" s="87"/>
      <c r="N12" s="87"/>
      <c r="O12" s="87"/>
      <c r="P12" s="87"/>
      <c r="Q12" s="87"/>
    </row>
    <row r="13" spans="1:17" hidden="1">
      <c r="A13" s="90"/>
      <c r="B13" s="90"/>
      <c r="C13" s="90"/>
      <c r="D13" s="90"/>
      <c r="E13" s="90"/>
      <c r="F13" s="90"/>
      <c r="G13" s="90"/>
      <c r="H13" s="90"/>
      <c r="I13" s="90"/>
      <c r="J13" s="90"/>
      <c r="K13" s="90"/>
      <c r="M13" s="87"/>
      <c r="N13" s="87"/>
      <c r="O13" s="87"/>
      <c r="P13" s="87"/>
      <c r="Q13" s="87"/>
    </row>
    <row r="14" spans="1:17" hidden="1">
      <c r="A14" s="90"/>
      <c r="B14" s="90"/>
      <c r="C14" s="90"/>
      <c r="D14" s="90"/>
      <c r="E14" s="90"/>
      <c r="F14" s="90"/>
      <c r="G14" s="90"/>
      <c r="H14" s="90"/>
      <c r="I14" s="90"/>
      <c r="J14" s="90"/>
      <c r="K14" s="90"/>
      <c r="M14" s="87"/>
      <c r="N14" s="87"/>
      <c r="O14" s="87"/>
      <c r="P14" s="87"/>
      <c r="Q14" s="87"/>
    </row>
    <row r="15" spans="1:17" hidden="1">
      <c r="M15" s="87"/>
      <c r="N15" s="87"/>
      <c r="O15" s="87"/>
      <c r="P15" s="87"/>
      <c r="Q15" s="87"/>
    </row>
    <row r="16" spans="1:17" hidden="1">
      <c r="M16" s="87"/>
      <c r="N16" s="87"/>
      <c r="O16" s="87"/>
      <c r="P16" s="87"/>
      <c r="Q16" s="87"/>
    </row>
    <row r="17" spans="13:17" hidden="1">
      <c r="M17" s="87"/>
      <c r="N17" s="87"/>
      <c r="O17" s="87"/>
      <c r="P17" s="87"/>
      <c r="Q17" s="87"/>
    </row>
    <row r="18" spans="13:17" hidden="1">
      <c r="M18" s="87"/>
      <c r="N18" s="87"/>
      <c r="O18" s="87"/>
      <c r="P18" s="87"/>
      <c r="Q18" s="87"/>
    </row>
  </sheetData>
  <sheetProtection algorithmName="SHA-512" hashValue="trIWnQh3/uLQlh54StHNuGfKu8zZZ2BzxEWTvAQr9E5vB/B/qa8gnWFDj98zkFPpuTZH7rYJsKSV5b8md/04AA==" saltValue="ehx+eO2TqC6MZXO+XGB8TQ==" spinCount="100000" sheet="1" objects="1" scenarios="1" selectLockedCells="1"/>
  <mergeCells count="4">
    <mergeCell ref="A1:K1"/>
    <mergeCell ref="A5:G5"/>
    <mergeCell ref="A6:G6"/>
    <mergeCell ref="A7:G7"/>
  </mergeCells>
  <dataValidations xWindow="1239" yWindow="428" count="9">
    <dataValidation type="textLength" allowBlank="1" showInputMessage="1" showErrorMessage="1" errorTitle="Data Error:" error="Please enter PIN in proper format.  " promptTitle="Alphanumeric:" prompt="Enter 11 digit alphanumeric values for PIN. " sqref="B3:B4">
      <formula1>11</formula1>
      <formula2>11</formula2>
    </dataValidation>
    <dataValidation type="textLength" operator="lessThanOrEqual" allowBlank="1" showInputMessage="1" showErrorMessage="1" errorTitle="Data Error:" error="Please enter alphanumeric value of length less than or equal to 200  characters." promptTitle="Alphanumeric:" prompt="Enter alphanumeric value of length less than or equal to 200  characters.Special characters like Space , - . / : are allowed." sqref="F3:F4">
      <formula1>200</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C3:C4">
      <formula1>50</formula1>
      <formula2>0</formula2>
    </dataValidation>
    <dataValidation type="textLength" operator="lessThanOrEqual" allowBlank="1" showInputMessage="1" showErrorMessage="1" errorTitle="Data Error:" error="Please enter alphanumeric value of length less than or equal to 40  characters." promptTitle="Alphanumeric:" prompt="Enter alphanumeric value of length less than or equal to 40  characters.Special characters like Space , - . / : are allowed." sqref="J3:J4 E3:E4">
      <formula1>40</formula1>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are not allowed." sqref="G3:G4">
      <formula1>20</formula1>
      <formula2>0</formula2>
    </dataValidation>
    <dataValidation allowBlank="1" errorTitle="Data Error:" error="Please enter Excise Duty which should always be less than Amount Before Tax and length should be upto 15 digits only." promptTitle="Numeric:" prompt="Enter numeric value of length less than or equal to 15 digit." sqref="I3:I7">
      <formula1>0</formula1>
      <formula2>0</formula2>
    </dataValidation>
    <dataValidation type="decimal" allowBlank="1" showInputMessage="1" showErrorMessage="1" errorTitle="Data Error:" error="Please Enter numeric value of length less than or equal to 15 digit." promptTitle="Numeric:" prompt="Enter numeric value of length less than or equal to 15 digit." sqref="H3:H4">
      <formula1>-1000000000000000</formula1>
      <formula2>999999999999999</formula2>
    </dataValidation>
    <dataValidation type="textLength" allowBlank="1" showInputMessage="1" showErrorMessage="1" errorTitle="Data Error:" error="Please enter date value in dd/mm/yyyy format." promptTitle="Date:" prompt="Enter date value in dd/mm/yyyy format." sqref="D3:D4 K3:K4">
      <formula1>8</formula1>
      <formula2>10</formula2>
    </dataValidation>
    <dataValidation type="list" allowBlank="1" showInputMessage="1" showErrorMessage="1" error="Please select data from DropDown Only. " promptTitle="List:" prompt="Select data from DropDown List. " sqref="A3:A4">
      <formula1>TypesOfPurchases</formula1>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5.xml><?xml version="1.0" encoding="utf-8"?>
<worksheet xmlns="http://schemas.openxmlformats.org/spreadsheetml/2006/main" xmlns:r="http://schemas.openxmlformats.org/officeDocument/2006/relationships">
  <sheetPr codeName="Sheet15">
    <tabColor rgb="FFA9C000"/>
  </sheetPr>
  <dimension ref="A1:IU14"/>
  <sheetViews>
    <sheetView zoomScaleNormal="100" workbookViewId="0">
      <selection activeCell="C3" sqref="C3"/>
    </sheetView>
  </sheetViews>
  <sheetFormatPr defaultColWidth="0" defaultRowHeight="15.75" zeroHeight="1"/>
  <cols>
    <col min="1" max="9" width="27.5703125" style="52" customWidth="1"/>
    <col min="10" max="10" width="9" style="52" customWidth="1"/>
    <col min="11" max="11" width="9.140625" style="52" customWidth="1"/>
    <col min="12" max="254" width="9.140625" style="52" hidden="1" customWidth="1"/>
    <col min="255" max="255" width="1.42578125" style="52" hidden="1" customWidth="1"/>
    <col min="256" max="16384" width="2" style="52" hidden="1"/>
  </cols>
  <sheetData>
    <row r="1" spans="1:11" s="91" customFormat="1" ht="31.5" customHeight="1">
      <c r="A1" s="329" t="s">
        <v>989</v>
      </c>
      <c r="B1" s="330"/>
      <c r="C1" s="330"/>
      <c r="D1" s="330"/>
      <c r="E1" s="330"/>
      <c r="F1" s="330"/>
      <c r="G1" s="330"/>
      <c r="H1" s="330"/>
      <c r="I1" s="330"/>
      <c r="J1" s="51"/>
      <c r="K1" s="92"/>
    </row>
    <row r="2" spans="1:11" ht="33">
      <c r="A2" s="54" t="s">
        <v>728</v>
      </c>
      <c r="B2" s="54" t="s">
        <v>729</v>
      </c>
      <c r="C2" s="54" t="s">
        <v>730</v>
      </c>
      <c r="D2" s="54" t="s">
        <v>580</v>
      </c>
      <c r="E2" s="54" t="s">
        <v>581</v>
      </c>
      <c r="F2" s="54" t="s">
        <v>1171</v>
      </c>
      <c r="G2" s="54" t="s">
        <v>582</v>
      </c>
      <c r="H2" s="54" t="s">
        <v>678</v>
      </c>
      <c r="I2" s="54" t="s">
        <v>968</v>
      </c>
      <c r="J2" s="51"/>
      <c r="K2" s="92"/>
    </row>
    <row r="3" spans="1:11">
      <c r="A3" s="69"/>
      <c r="B3" s="199"/>
      <c r="C3" s="57"/>
      <c r="D3" s="50"/>
      <c r="E3" s="57"/>
      <c r="F3" s="270"/>
      <c r="G3" s="69"/>
      <c r="H3" s="199"/>
      <c r="I3" s="60"/>
      <c r="J3" s="51" t="str">
        <f>IF(ISERROR(LOOKUP(A3,SortedTypesOfPurchases,SortedTypesOdPurchasesCode)),"",LOOKUP(A3,SortedTypesOfPurchases,SortedTypesOdPurchasesCode))</f>
        <v/>
      </c>
      <c r="K3" s="51" t="str">
        <f>IF(COUNTBLANK(B3:J3)=9,"","ZERO")</f>
        <v/>
      </c>
    </row>
    <row r="4" spans="1:11">
      <c r="A4" s="57"/>
      <c r="B4" s="199"/>
      <c r="C4" s="57"/>
      <c r="D4" s="59"/>
      <c r="E4" s="57"/>
      <c r="F4" s="271"/>
      <c r="G4" s="57"/>
      <c r="H4" s="199"/>
      <c r="I4" s="60"/>
      <c r="J4" s="51" t="str">
        <f>IF(ISERROR(LOOKUP(A4,SortedTypesOfPurchases,SortedTypesOdPurchasesCode)),"",LOOKUP(A4,SortedTypesOfPurchases,SortedTypesOdPurchasesCode))</f>
        <v/>
      </c>
      <c r="K4" s="51" t="str">
        <f>IF(COUNTBLANK(B4:J4)=9,"","ZERO")</f>
        <v/>
      </c>
    </row>
    <row r="5" spans="1:11" ht="16.5">
      <c r="A5" s="325" t="s">
        <v>990</v>
      </c>
      <c r="B5" s="326"/>
      <c r="C5" s="326"/>
      <c r="D5" s="326"/>
      <c r="E5" s="326"/>
      <c r="F5" s="326"/>
      <c r="G5" s="326"/>
      <c r="H5" s="326"/>
      <c r="I5" s="63">
        <f>SUMIF(PurchaseZero,"=Local",AmtBfrVATZero)</f>
        <v>0</v>
      </c>
      <c r="J5" s="51"/>
      <c r="K5" s="92"/>
    </row>
    <row r="6" spans="1:11" ht="16.5">
      <c r="A6" s="327" t="s">
        <v>991</v>
      </c>
      <c r="B6" s="328"/>
      <c r="C6" s="328"/>
      <c r="D6" s="328"/>
      <c r="E6" s="328"/>
      <c r="F6" s="328"/>
      <c r="G6" s="328"/>
      <c r="H6" s="328"/>
      <c r="I6" s="63">
        <f>SUMIF(PurchaseZero,"=Import",AmtBfrVATZero)</f>
        <v>0</v>
      </c>
      <c r="J6" s="51"/>
      <c r="K6" s="92"/>
    </row>
    <row r="7" spans="1:11" ht="16.5">
      <c r="A7" s="327" t="s">
        <v>972</v>
      </c>
      <c r="B7" s="328"/>
      <c r="C7" s="328"/>
      <c r="D7" s="328"/>
      <c r="E7" s="328"/>
      <c r="F7" s="328"/>
      <c r="G7" s="328"/>
      <c r="H7" s="328"/>
      <c r="I7" s="63">
        <f>SUM(Sch7.AmtBfrVATWithPINTO,Sch7.AmtBfrVATWithoutPINTO)</f>
        <v>0</v>
      </c>
      <c r="J7" s="51"/>
      <c r="K7" s="92"/>
    </row>
    <row r="8" spans="1:11" ht="37.5" customHeight="1">
      <c r="A8" s="92"/>
      <c r="B8" s="92"/>
      <c r="C8" s="92"/>
      <c r="D8" s="92"/>
      <c r="E8" s="92"/>
      <c r="F8" s="92"/>
      <c r="G8" s="92"/>
      <c r="H8" s="92"/>
      <c r="I8" s="92"/>
      <c r="J8" s="92"/>
      <c r="K8" s="92"/>
    </row>
    <row r="9" spans="1:11" ht="37.5" customHeight="1">
      <c r="A9" s="92"/>
      <c r="B9" s="92"/>
      <c r="C9" s="92"/>
      <c r="D9" s="92"/>
      <c r="E9" s="92"/>
      <c r="F9" s="92"/>
      <c r="G9" s="92"/>
      <c r="H9" s="92"/>
      <c r="I9" s="92"/>
      <c r="J9" s="92"/>
      <c r="K9" s="92"/>
    </row>
    <row r="10" spans="1:11" hidden="1">
      <c r="A10" s="92"/>
      <c r="B10" s="92"/>
      <c r="C10" s="92"/>
      <c r="D10" s="92"/>
      <c r="E10" s="92"/>
      <c r="F10" s="92"/>
      <c r="G10" s="92"/>
      <c r="H10" s="92"/>
      <c r="I10" s="92"/>
      <c r="J10" s="92"/>
    </row>
    <row r="11" spans="1:11" hidden="1">
      <c r="A11" s="92"/>
      <c r="B11" s="92"/>
      <c r="C11" s="92"/>
      <c r="D11" s="92"/>
      <c r="E11" s="92"/>
      <c r="F11" s="92"/>
      <c r="G11" s="92"/>
      <c r="H11" s="92"/>
      <c r="I11" s="92"/>
      <c r="J11" s="92"/>
    </row>
    <row r="12" spans="1:11" hidden="1">
      <c r="A12" s="92"/>
      <c r="B12" s="92"/>
      <c r="C12" s="92"/>
      <c r="D12" s="92"/>
      <c r="E12" s="92"/>
      <c r="F12" s="92"/>
      <c r="G12" s="92"/>
      <c r="H12" s="92"/>
      <c r="I12" s="92"/>
      <c r="J12" s="92"/>
    </row>
    <row r="13" spans="1:11" hidden="1">
      <c r="A13" s="92"/>
      <c r="B13" s="92"/>
      <c r="C13" s="92"/>
      <c r="D13" s="92"/>
      <c r="E13" s="92"/>
      <c r="F13" s="92"/>
      <c r="G13" s="92"/>
      <c r="H13" s="92"/>
      <c r="I13" s="92"/>
      <c r="J13" s="92"/>
    </row>
    <row r="14" spans="1:11" hidden="1">
      <c r="A14" s="92"/>
      <c r="B14" s="92"/>
      <c r="C14" s="92"/>
      <c r="D14" s="92"/>
      <c r="E14" s="92"/>
      <c r="F14" s="92"/>
      <c r="G14" s="92"/>
      <c r="H14" s="92"/>
      <c r="I14" s="92"/>
      <c r="J14" s="92"/>
    </row>
  </sheetData>
  <sheetProtection password="94AB" sheet="1" objects="1" scenarios="1" selectLockedCells="1"/>
  <mergeCells count="4">
    <mergeCell ref="A5:H5"/>
    <mergeCell ref="A6:H6"/>
    <mergeCell ref="A7:H7"/>
    <mergeCell ref="A1:I1"/>
  </mergeCells>
  <dataValidations xWindow="55384" yWindow="55884" count="10">
    <dataValidation type="textLength" allowBlank="1" showInputMessage="1" showErrorMessage="1" errorTitle="Data Error:" error="Please enter PIN in proper format.  " promptTitle="Alphanumeric:" prompt="Enter 11 digit alphanumeric values for PIN. " sqref="B3:B4">
      <formula1>11</formula1>
      <formula2>11</formula2>
    </dataValidation>
    <dataValidation type="textLength" operator="lessThanOrEqual" allowBlank="1" showInputMessage="1" showErrorMessage="1" errorTitle="Data Error:" error="Please enter alphanumeric value of length less than or equal to 200  characters." promptTitle="Alphanumeric:" prompt="Enter alphanumeric value of length less than or equal to 200  characters.Special characters like Space , - . / : are allowed." sqref="G3:G4">
      <formula1>200</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C3:C4">
      <formula1>50</formula1>
      <formula2>0</formula2>
    </dataValidation>
    <dataValidation type="textLength" operator="lessThanOrEqual" allowBlank="1" showInputMessage="1" showErrorMessage="1" errorTitle="Data Error:" error="Please enter alphanumeric value of length less than or equal to 40  characters." promptTitle="Alphanumeric:" prompt="Enter alphanumeric value of length less than or equal to 40  characters.Special characters like Space , - . / : are allowed." sqref="E3:E4">
      <formula1>40</formula1>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are not allowed." sqref="H3:H4">
      <formula1>20</formula1>
      <formula2>0</formula2>
    </dataValidation>
    <dataValidation allowBlank="1" errorTitle="Data Error:" error="Please enter Excise Duty which should always be less than Amount Before Tax and length should be upto 15 digits only." promptTitle="Numeric:" prompt="Enter numeric value of length less than or equal to 15 digit." sqref="J3:J4">
      <formula1>0</formula1>
      <formula2>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I3:I4">
      <formula1>-999999999999999</formula1>
      <formula2>999999999999999</formula2>
    </dataValidation>
    <dataValidation type="textLength" allowBlank="1" showInputMessage="1" showErrorMessage="1" errorTitle="Data Error:" error="Please enter date value in dd/mm/yyyy format." promptTitle="Date:" prompt="Enter date value in dd/mm/yyyy format." sqref="D3:D4">
      <formula1>8</formula1>
      <formula2>10</formula2>
    </dataValidation>
    <dataValidation type="list" allowBlank="1" showInputMessage="1" showErrorMessage="1" error="Please select data from DropDown Only. " promptTitle="List:" prompt="Select data from DropDown List. " sqref="A3:A4">
      <formula1>TypesOfPurchases</formula1>
      <formula2>0</formula2>
    </dataValidation>
    <dataValidation type="list" allowBlank="1" showInputMessage="1" showErrorMessage="1" error="Please select data from DropDown Only. " promptTitle="List:" prompt="Select data from DropDown List. " sqref="F3:F4">
      <formula1>GoodsAndServices</formula1>
    </dataValidation>
  </dataValidations>
  <pageMargins left="0.7" right="0.7" top="0.75" bottom="0.75" header="0.51180555555555551" footer="0.51180555555555551"/>
  <pageSetup paperSize="9" firstPageNumber="0" orientation="portrait" horizontalDpi="300" verticalDpi="300"/>
  <headerFooter alignWithMargins="0"/>
  <drawing r:id="rId1"/>
</worksheet>
</file>

<file path=xl/worksheets/sheet16.xml><?xml version="1.0" encoding="utf-8"?>
<worksheet xmlns="http://schemas.openxmlformats.org/spreadsheetml/2006/main" xmlns:r="http://schemas.openxmlformats.org/officeDocument/2006/relationships">
  <sheetPr codeName="Sheet16"/>
  <dimension ref="A1:H66"/>
  <sheetViews>
    <sheetView workbookViewId="0">
      <selection activeCell="A3" sqref="A3"/>
    </sheetView>
  </sheetViews>
  <sheetFormatPr defaultColWidth="0" defaultRowHeight="16.5" zeroHeight="1"/>
  <cols>
    <col min="1" max="5" width="20.5703125" style="93" customWidth="1"/>
    <col min="6" max="7" width="27.5703125" style="93" customWidth="1"/>
    <col min="8" max="8" width="11.42578125" style="94" customWidth="1"/>
    <col min="9" max="16384" width="0" style="93" hidden="1"/>
  </cols>
  <sheetData>
    <row r="1" spans="1:8" ht="12.75" customHeight="1">
      <c r="A1" s="331" t="s">
        <v>992</v>
      </c>
      <c r="B1" s="331"/>
      <c r="C1" s="331"/>
      <c r="D1" s="331"/>
      <c r="E1" s="331"/>
      <c r="F1" s="331"/>
      <c r="G1" s="331"/>
      <c r="H1" s="95"/>
    </row>
    <row r="2" spans="1:8" s="99" customFormat="1" ht="45.75">
      <c r="A2" s="96" t="s">
        <v>993</v>
      </c>
      <c r="B2" s="96" t="s">
        <v>994</v>
      </c>
      <c r="C2" s="96" t="s">
        <v>995</v>
      </c>
      <c r="D2" s="96" t="s">
        <v>830</v>
      </c>
      <c r="E2" s="96" t="s">
        <v>996</v>
      </c>
      <c r="F2" s="96" t="s">
        <v>997</v>
      </c>
      <c r="G2" s="97" t="s">
        <v>998</v>
      </c>
      <c r="H2" s="98"/>
    </row>
    <row r="3" spans="1:8">
      <c r="A3" s="100"/>
      <c r="B3" s="101"/>
      <c r="C3" s="101"/>
      <c r="D3" s="101"/>
      <c r="E3" s="101"/>
      <c r="F3" s="102"/>
      <c r="G3" s="103"/>
      <c r="H3" s="95"/>
    </row>
    <row r="4" spans="1:8">
      <c r="A4" s="100"/>
      <c r="B4" s="101"/>
      <c r="C4" s="101"/>
      <c r="D4" s="101"/>
      <c r="E4" s="101"/>
      <c r="F4" s="102"/>
      <c r="G4" s="103"/>
      <c r="H4" s="95"/>
    </row>
    <row r="5" spans="1:8" ht="12.75" customHeight="1">
      <c r="A5" s="332" t="s">
        <v>999</v>
      </c>
      <c r="B5" s="332"/>
      <c r="C5" s="332"/>
      <c r="D5" s="332"/>
      <c r="E5" s="332"/>
      <c r="F5" s="332"/>
      <c r="G5" s="104">
        <f ca="1">SUM(G3:OFFSET(Sch8.WithHoldingVATDtlsTO,-1,0))</f>
        <v>0</v>
      </c>
      <c r="H5" s="95"/>
    </row>
    <row r="6" spans="1:8" ht="30" customHeight="1">
      <c r="A6" s="333"/>
      <c r="B6" s="333"/>
      <c r="C6" s="333"/>
      <c r="D6" s="333"/>
      <c r="E6" s="333"/>
      <c r="F6" s="333"/>
      <c r="G6" s="333"/>
    </row>
    <row r="7" spans="1:8" ht="30" customHeight="1">
      <c r="A7" s="333"/>
      <c r="B7" s="333"/>
      <c r="C7" s="333"/>
      <c r="D7" s="333"/>
      <c r="E7" s="333"/>
      <c r="F7" s="333"/>
      <c r="G7" s="333"/>
    </row>
    <row r="8" spans="1:8" ht="12.75" hidden="1" customHeight="1"/>
    <row r="9" spans="1:8" ht="12.75" hidden="1" customHeight="1"/>
    <row r="10" spans="1:8" ht="12.75" hidden="1" customHeight="1"/>
    <row r="11" spans="1:8" ht="12.75" hidden="1" customHeight="1"/>
    <row r="12" spans="1:8" ht="12.75" hidden="1" customHeight="1"/>
    <row r="13" spans="1:8" ht="12.75" hidden="1" customHeight="1"/>
    <row r="14" spans="1:8" ht="12.75" hidden="1" customHeight="1"/>
    <row r="15" spans="1:8" ht="12.75" hidden="1" customHeight="1"/>
    <row r="16" spans="1:8" ht="12.75" hidden="1" customHeight="1"/>
    <row r="17" ht="12.75" hidden="1" customHeight="1"/>
    <row r="18" ht="12.75" hidden="1" customHeight="1"/>
    <row r="19" ht="12.75" hidden="1" customHeight="1"/>
    <row r="20" ht="12.75" hidden="1" customHeight="1"/>
    <row r="21" ht="12.75" hidden="1" customHeight="1"/>
    <row r="22" ht="12.75" hidden="1" customHeight="1"/>
    <row r="23" ht="12.75" hidden="1" customHeight="1"/>
    <row r="24" ht="12.75" hidden="1" customHeight="1"/>
    <row r="25" ht="12.75" hidden="1" customHeight="1"/>
    <row r="26" ht="12.75" hidden="1" customHeight="1"/>
    <row r="27" ht="12.75" hidden="1" customHeight="1"/>
    <row r="28" ht="12.75" hidden="1" customHeight="1"/>
    <row r="29" ht="12.75" hidden="1" customHeight="1"/>
    <row r="30" ht="12.75" hidden="1" customHeight="1"/>
    <row r="31" ht="12.75" hidden="1" customHeight="1"/>
    <row r="32" ht="12.75" hidden="1" customHeight="1"/>
    <row r="33" ht="12.75" hidden="1" customHeight="1"/>
    <row r="34" ht="12.75" hidden="1" customHeight="1"/>
    <row r="35" ht="12.75" hidden="1" customHeight="1"/>
    <row r="36" ht="12.75" hidden="1" customHeight="1"/>
    <row r="37" ht="12.75" hidden="1" customHeight="1"/>
    <row r="38" ht="12.75" hidden="1" customHeight="1"/>
    <row r="39" ht="12.75" hidden="1" customHeight="1"/>
    <row r="40" ht="12.75" hidden="1" customHeight="1"/>
    <row r="41" ht="12.75" hidden="1" customHeight="1"/>
    <row r="42" ht="12.75" hidden="1" customHeight="1"/>
    <row r="43" ht="12.75" hidden="1" customHeight="1"/>
    <row r="44" ht="12.75" hidden="1" customHeight="1"/>
    <row r="45" ht="12.75" hidden="1" customHeight="1"/>
    <row r="46" ht="12.75" hidden="1" customHeight="1"/>
    <row r="47" ht="12.75" hidden="1" customHeight="1"/>
    <row r="48"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row r="56" ht="12.75" hidden="1" customHeight="1"/>
    <row r="57" ht="12.75" hidden="1" customHeight="1"/>
    <row r="58" ht="12.75" hidden="1" customHeight="1"/>
    <row r="59" ht="12.75" hidden="1" customHeight="1"/>
    <row r="60" ht="12.75" hidden="1" customHeight="1"/>
    <row r="61" ht="12.75" hidden="1" customHeight="1"/>
    <row r="62" ht="12.75" hidden="1" customHeight="1"/>
    <row r="63" ht="12.75" hidden="1" customHeight="1"/>
    <row r="64" ht="12.75" hidden="1" customHeight="1"/>
    <row r="65" ht="12.75" hidden="1" customHeight="1"/>
    <row r="66" ht="12.75" hidden="1" customHeight="1"/>
  </sheetData>
  <sheetProtection sheet="1" objects="1" scenarios="1" selectLockedCells="1"/>
  <mergeCells count="3">
    <mergeCell ref="A1:G1"/>
    <mergeCell ref="A5:F5"/>
    <mergeCell ref="A6:G7"/>
  </mergeCells>
  <dataValidations xWindow="20344" yWindow="18174" count="9">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decimal" allowBlank="1" showInputMessage="1" showErrorMessage="1" errorTitle="Data Error:" error="Please enter Gross Amount which should always be greater than VAT Withheld and length should be upto 15 digits only._x000a_" promptTitle="Numeric:" prompt="Enter numeric value of length less than or equal to 15 digit." sqref="F3:F4">
      <formula1>G3</formula1>
      <formula2>999999999999999</formula2>
    </dataValidation>
    <dataValidation type="decimal" allowBlank="1" showInputMessage="1" showErrorMessage="1" errorTitle="Data Error:" error="Please enter VAT Withheld which should always be less than Gross Amount and length should be upto 15 digits only._x000a_" promptTitle="Numeric:" prompt="Enter numeric value of length less than or equal to 15 digit." sqref="G3:G4">
      <formula1>0</formula1>
      <formula2>F3</formula2>
    </dataValidation>
    <dataValidation type="textLength" allowBlank="1" showInputMessage="1" showErrorMessage="1" error="This Sum Total is auto-calculated." promptTitle="Currency" prompt="Please enter the amount in xxxxxxxxxx.xx format" sqref="G5">
      <formula1>0</formula1>
      <formula2>17</formula2>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like Space , - . / are allowed." sqref="C3:C4">
      <formula1>20</formula1>
      <formula2>0</formula2>
    </dataValidation>
    <dataValidation type="textLength" operator="lessThanOrEqual" allowBlank="1" showInputMessage="1" showErrorMessage="1" errorTitle="Data Error:" error="Please enter alphabetic value of length less than or equal to 50  characters." promptTitle="Alphabetic:" prompt="Enter alphabetic value of length less than or equal to 50  characters." sqref="B3:B4">
      <formula1>50</formula1>
      <formula2>0</formula2>
    </dataValidation>
    <dataValidation type="textLength" operator="lessThanOrEqual" allowBlank="1" showInputMessage="1" showErrorMessage="1" errorTitle="Data Error:" error="Please enter alphanumeric value of length less than or equal to 15  characters." promptTitle="Alphanumeric:" prompt="Enter alphanumeric value of length less than or equal to 15  characters.Special characters like Space , - . / are allowed." sqref="D3:D4">
      <formula1>15</formula1>
      <formula2>0</formula2>
    </dataValidation>
    <dataValidation type="textLength" errorStyle="information" allowBlank="1" showInputMessage="1" showErrorMessage="1" errorTitle="Data Error:" error="Please enter date value in dd/mm/yyyy format." promptTitle="Date:" prompt="Enter date value in dd/mm/yyyy format." sqref="E3:E4">
      <formula1>8</formula1>
      <formula2>10</formula2>
    </dataValidation>
    <dataValidation type="textLength" allowBlank="1" showInputMessage="1" showErrorMessage="1" errorTitle="PIN" error="Please enter 11 dIgits PIN number" prompt="Enter alphanumeric values for PIN with 11 Characters only. Special characters like ` ~ ! $ % ^ * ( ) @ # &amp; ' &quot; { } ; : &lt; &gt; ? / \ and comma are not allowed." sqref="A5">
      <formula1>0</formula1>
      <formula2>11</formula2>
    </dataValidation>
  </dataValidations>
  <pageMargins left="0.7" right="0.7" top="0.75" bottom="0.75" header="0.51180555555555551" footer="0.51180555555555551"/>
  <pageSetup firstPageNumber="0" orientation="portrait" horizontalDpi="300" verticalDpi="300" r:id="rId1"/>
  <headerFooter alignWithMargins="0"/>
  <legacyDrawing r:id="rId2"/>
</worksheet>
</file>

<file path=xl/worksheets/sheet17.xml><?xml version="1.0" encoding="utf-8"?>
<worksheet xmlns="http://schemas.openxmlformats.org/spreadsheetml/2006/main" xmlns:r="http://schemas.openxmlformats.org/officeDocument/2006/relationships">
  <sheetPr codeName="Sheet18">
    <tabColor rgb="FFA9C000"/>
  </sheetPr>
  <dimension ref="A1:J15"/>
  <sheetViews>
    <sheetView workbookViewId="0">
      <selection activeCell="A3" sqref="A3"/>
    </sheetView>
  </sheetViews>
  <sheetFormatPr defaultColWidth="0" defaultRowHeight="15.75" zeroHeight="1"/>
  <cols>
    <col min="1" max="8" width="27.5703125" style="52" customWidth="1"/>
    <col min="9" max="10" width="7.140625" style="105" customWidth="1"/>
    <col min="11" max="16384" width="0" style="52" hidden="1"/>
  </cols>
  <sheetData>
    <row r="1" spans="1:10" ht="31.5" customHeight="1">
      <c r="A1" s="334" t="s">
        <v>807</v>
      </c>
      <c r="B1" s="334"/>
      <c r="C1" s="334"/>
      <c r="D1" s="334"/>
      <c r="E1" s="334"/>
      <c r="F1" s="334"/>
      <c r="G1" s="334"/>
      <c r="H1" s="334"/>
      <c r="I1" s="51"/>
      <c r="J1" s="51"/>
    </row>
    <row r="2" spans="1:10" s="106" customFormat="1" ht="33">
      <c r="A2" s="54" t="s">
        <v>728</v>
      </c>
      <c r="B2" s="54" t="s">
        <v>729</v>
      </c>
      <c r="C2" s="54" t="s">
        <v>730</v>
      </c>
      <c r="D2" s="54" t="s">
        <v>580</v>
      </c>
      <c r="E2" s="54" t="s">
        <v>581</v>
      </c>
      <c r="F2" s="54" t="s">
        <v>582</v>
      </c>
      <c r="G2" s="54" t="s">
        <v>678</v>
      </c>
      <c r="H2" s="54" t="s">
        <v>1000</v>
      </c>
      <c r="I2" s="51"/>
      <c r="J2" s="51"/>
    </row>
    <row r="3" spans="1:10">
      <c r="A3" s="57"/>
      <c r="B3" s="199"/>
      <c r="C3" s="57"/>
      <c r="D3" s="59"/>
      <c r="E3" s="57"/>
      <c r="F3" s="57"/>
      <c r="G3" s="199"/>
      <c r="H3" s="60"/>
      <c r="I3" s="51" t="str">
        <f>IF(ISERROR(LOOKUP(A3,SortedTypesOfPurchases,SortedTypesOdPurchasesCode)),"",LOOKUP(A3,SortedTypesOfPurchases,SortedTypesOdPurchasesCode))</f>
        <v/>
      </c>
      <c r="J3" s="51" t="str">
        <f>IF(COUNTBLANK(A3:H3)=8,"","EXEMPT")</f>
        <v/>
      </c>
    </row>
    <row r="4" spans="1:10">
      <c r="A4" s="57"/>
      <c r="B4" s="62"/>
      <c r="C4" s="57"/>
      <c r="D4" s="59"/>
      <c r="E4" s="57"/>
      <c r="F4" s="57"/>
      <c r="G4" s="62"/>
      <c r="H4" s="60"/>
      <c r="I4" s="51" t="str">
        <f>IF(ISERROR(LOOKUP(A4,SortedTypesOfPurchases,SortedTypesOdPurchasesCode)),"",LOOKUP(A4,SortedTypesOfPurchases,SortedTypesOdPurchasesCode))</f>
        <v/>
      </c>
      <c r="J4" s="51" t="str">
        <f>IF(COUNTBLANK(A4:H4)=8,"","EXEMPT")</f>
        <v/>
      </c>
    </row>
    <row r="5" spans="1:10" ht="16.5">
      <c r="A5" s="313" t="s">
        <v>990</v>
      </c>
      <c r="B5" s="313"/>
      <c r="C5" s="313"/>
      <c r="D5" s="313"/>
      <c r="E5" s="313"/>
      <c r="F5" s="313"/>
      <c r="G5" s="313"/>
      <c r="H5" s="63">
        <f>SUMIF(PurchasesExempt,"=Local",AmtBfrVATExempt)</f>
        <v>0</v>
      </c>
      <c r="I5" s="51"/>
      <c r="J5" s="51"/>
    </row>
    <row r="6" spans="1:10" ht="16.5">
      <c r="A6" s="313" t="s">
        <v>991</v>
      </c>
      <c r="B6" s="313"/>
      <c r="C6" s="313"/>
      <c r="D6" s="313"/>
      <c r="E6" s="313"/>
      <c r="F6" s="313"/>
      <c r="G6" s="313"/>
      <c r="H6" s="63">
        <f>SUMIF(PurchasesExempt,"=Import",AmtBfrVATExempt)</f>
        <v>0</v>
      </c>
      <c r="I6" s="51"/>
      <c r="J6" s="51"/>
    </row>
    <row r="7" spans="1:10" ht="16.5">
      <c r="A7" s="313" t="s">
        <v>1001</v>
      </c>
      <c r="B7" s="313"/>
      <c r="C7" s="313"/>
      <c r="D7" s="313"/>
      <c r="E7" s="313"/>
      <c r="F7" s="313"/>
      <c r="G7" s="313"/>
      <c r="H7" s="107"/>
      <c r="I7" s="51"/>
      <c r="J7" s="51"/>
    </row>
    <row r="8" spans="1:10" ht="16.5">
      <c r="A8" s="313" t="s">
        <v>972</v>
      </c>
      <c r="B8" s="313"/>
      <c r="C8" s="313"/>
      <c r="D8" s="313"/>
      <c r="E8" s="313"/>
      <c r="F8" s="313"/>
      <c r="G8" s="313"/>
      <c r="H8" s="63">
        <f>SUM(Sch8.PurchaseAmtWithPINTO,Sch8.AmtBfrVATWithoutPINTO,Sch8.AmtBfrVATWithoutPINAddTO)</f>
        <v>0</v>
      </c>
      <c r="I8" s="51"/>
      <c r="J8" s="51"/>
    </row>
    <row r="9" spans="1:10" ht="37.5" customHeight="1">
      <c r="A9" s="108"/>
      <c r="B9" s="108"/>
      <c r="C9" s="108"/>
      <c r="D9" s="108"/>
      <c r="E9" s="108"/>
      <c r="F9" s="108"/>
      <c r="G9" s="108"/>
      <c r="H9" s="108"/>
      <c r="I9" s="51"/>
      <c r="J9" s="51"/>
    </row>
    <row r="10" spans="1:10" ht="37.5" customHeight="1">
      <c r="A10" s="108"/>
      <c r="B10" s="108"/>
      <c r="C10" s="108"/>
      <c r="D10" s="108"/>
      <c r="E10" s="108"/>
      <c r="F10" s="108"/>
      <c r="G10" s="108"/>
      <c r="H10" s="108"/>
      <c r="I10" s="51"/>
      <c r="J10" s="51"/>
    </row>
    <row r="11" spans="1:10" hidden="1">
      <c r="A11" s="108"/>
      <c r="B11" s="108"/>
      <c r="C11" s="108"/>
      <c r="D11" s="108"/>
      <c r="E11" s="108"/>
      <c r="F11" s="108"/>
      <c r="G11" s="108"/>
      <c r="H11" s="108"/>
      <c r="I11" s="51"/>
      <c r="J11" s="51"/>
    </row>
    <row r="12" spans="1:10" hidden="1">
      <c r="A12" s="108"/>
      <c r="B12" s="108"/>
      <c r="C12" s="108"/>
      <c r="D12" s="108"/>
      <c r="E12" s="108"/>
      <c r="F12" s="108"/>
      <c r="G12" s="108"/>
      <c r="H12" s="108"/>
      <c r="I12" s="51"/>
      <c r="J12" s="51"/>
    </row>
    <row r="13" spans="1:10" hidden="1">
      <c r="A13" s="108"/>
      <c r="B13" s="108"/>
      <c r="C13" s="108"/>
      <c r="D13" s="108"/>
      <c r="E13" s="108"/>
      <c r="F13" s="108"/>
      <c r="G13" s="108"/>
      <c r="H13" s="108"/>
      <c r="I13" s="51"/>
      <c r="J13" s="51"/>
    </row>
    <row r="14" spans="1:10" hidden="1">
      <c r="A14" s="108"/>
      <c r="B14" s="108"/>
      <c r="C14" s="108"/>
      <c r="D14" s="108"/>
      <c r="E14" s="108"/>
      <c r="F14" s="108"/>
      <c r="G14" s="108"/>
      <c r="H14" s="108"/>
      <c r="I14" s="51"/>
      <c r="J14" s="51"/>
    </row>
    <row r="15" spans="1:10" hidden="1">
      <c r="A15" s="108"/>
      <c r="B15" s="108"/>
      <c r="C15" s="108"/>
      <c r="D15" s="108"/>
      <c r="E15" s="108"/>
      <c r="F15" s="108"/>
      <c r="G15" s="108"/>
      <c r="H15" s="108"/>
      <c r="I15" s="51"/>
      <c r="J15" s="51"/>
    </row>
  </sheetData>
  <sheetProtection password="94AB" sheet="1" objects="1" scenarios="1" selectLockedCells="1"/>
  <mergeCells count="5">
    <mergeCell ref="A1:H1"/>
    <mergeCell ref="A5:G5"/>
    <mergeCell ref="A6:G6"/>
    <mergeCell ref="A7:G7"/>
    <mergeCell ref="A8:G8"/>
  </mergeCells>
  <dataValidations xWindow="30063" yWindow="25502" count="9">
    <dataValidation type="textLength" allowBlank="1" showInputMessage="1" showErrorMessage="1" errorTitle="Data Error:" error="Please enter PIN in proper format.  " promptTitle="Alphanumeric:" prompt="Enter 11 digit alphanumeric values for PIN. " sqref="B3:B4">
      <formula1>11</formula1>
      <formula2>11</formula2>
    </dataValidation>
    <dataValidation type="textLength" operator="lessThanOrEqual" allowBlank="1" showInputMessage="1" showErrorMessage="1" errorTitle="Data Error:" error="Please enter alphanumeric value of length less than or equal to 200  characters." promptTitle="Alphanumeric:" prompt="Enter alphanumeric value of length less than or equal to 200  characters.Special characters like Space , - . / : are allowed." sqref="F3:F4">
      <formula1>200</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C3:C4">
      <formula1>50</formula1>
      <formula2>0</formula2>
    </dataValidation>
    <dataValidation type="textLength" operator="lessThanOrEqual" allowBlank="1" showInputMessage="1" showErrorMessage="1" errorTitle="Data Error:" error="Please enter alphanumeric value of length less than or equal to 40  characters." promptTitle="Alphanumeric:" prompt="Enter alphanumeric value of length less than or equal to 40  characters.Special characters like Space , - . / : are allowed." sqref="E3:E4">
      <formula1>40</formula1>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are not allowed." sqref="G3:G4">
      <formula1>20</formula1>
      <formula2>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H3:H4">
      <formula1>-999999999999999</formula1>
      <formula2>999999999999999</formula2>
    </dataValidation>
    <dataValidation type="textLength" allowBlank="1" showInputMessage="1" showErrorMessage="1" errorTitle="Data Error:" error="Please enter date value in dd/mm/yyyy format." promptTitle="Date:" prompt="Enter date value in dd/mm/yyyy format." sqref="D3:D4">
      <formula1>8</formula1>
      <formula2>10</formula2>
    </dataValidation>
    <dataValidation type="decimal" allowBlank="1" showInputMessage="1" showErrorMessage="1" errorTitle="Data Error:" error="Please Enter numeric value of length less than or equal to 15 digits." promptTitle="Numeric:" prompt="Enter numeric value of length less than or equal to 15 digits." sqref="H7">
      <formula1>-999999999999999</formula1>
      <formula2>999999999999999</formula2>
    </dataValidation>
    <dataValidation type="list" allowBlank="1" showInputMessage="1" showErrorMessage="1" error="Please select data from DropDown Only. " promptTitle="List:" prompt="Select data from DropDown List. " sqref="A3:A4">
      <formula1>TypesOfPurchases</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8.xml><?xml version="1.0" encoding="utf-8"?>
<worksheet xmlns="http://schemas.openxmlformats.org/spreadsheetml/2006/main" xmlns:r="http://schemas.openxmlformats.org/officeDocument/2006/relationships">
  <sheetPr codeName="Sheet21">
    <tabColor rgb="FFA9C000"/>
  </sheetPr>
  <dimension ref="A1:I7"/>
  <sheetViews>
    <sheetView workbookViewId="0">
      <selection activeCell="A3" sqref="A3:H4"/>
    </sheetView>
  </sheetViews>
  <sheetFormatPr defaultColWidth="0" defaultRowHeight="15" zeroHeight="1"/>
  <cols>
    <col min="1" max="7" width="27.5703125" customWidth="1"/>
    <col min="8" max="8" width="10.42578125" style="109" customWidth="1"/>
    <col min="9" max="9" width="11.140625" customWidth="1"/>
  </cols>
  <sheetData>
    <row r="1" spans="1:9" ht="31.5" customHeight="1">
      <c r="A1" s="324" t="s">
        <v>832</v>
      </c>
      <c r="B1" s="324"/>
      <c r="C1" s="324"/>
      <c r="D1" s="324"/>
      <c r="E1" s="324"/>
      <c r="F1" s="324"/>
      <c r="G1" s="324"/>
      <c r="H1" s="110"/>
      <c r="I1" s="110"/>
    </row>
    <row r="2" spans="1:9" ht="33">
      <c r="A2" s="54" t="s">
        <v>730</v>
      </c>
      <c r="B2" s="54" t="s">
        <v>582</v>
      </c>
      <c r="C2" s="54" t="s">
        <v>829</v>
      </c>
      <c r="D2" s="54" t="s">
        <v>580</v>
      </c>
      <c r="E2" s="54" t="s">
        <v>581</v>
      </c>
      <c r="F2" s="54" t="s">
        <v>830</v>
      </c>
      <c r="G2" s="54" t="s">
        <v>1002</v>
      </c>
      <c r="H2" s="110"/>
      <c r="I2" s="110"/>
    </row>
    <row r="3" spans="1:9" ht="15.75">
      <c r="A3" s="82"/>
      <c r="B3" s="82"/>
      <c r="C3" s="50"/>
      <c r="D3" s="50"/>
      <c r="E3" s="82"/>
      <c r="F3" s="82"/>
      <c r="G3" s="111"/>
      <c r="H3" s="110" t="str">
        <f>IF(COUNTBLANK(A3:G3)=7,"","VCSIK")</f>
        <v/>
      </c>
      <c r="I3" s="110" t="str">
        <f>CONCATENATE(C3,F3,G3)</f>
        <v/>
      </c>
    </row>
    <row r="4" spans="1:9" ht="15.75">
      <c r="A4" s="82"/>
      <c r="B4" s="82"/>
      <c r="C4" s="50"/>
      <c r="D4" s="50"/>
      <c r="E4" s="82"/>
      <c r="F4" s="82"/>
      <c r="G4" s="111"/>
      <c r="H4" s="110" t="str">
        <f>IF(COUNTBLANK(A4:G4)=7,"","VCSIK")</f>
        <v/>
      </c>
      <c r="I4" s="110" t="str">
        <f>CONCATENATE(C4,F4,G4)</f>
        <v/>
      </c>
    </row>
    <row r="5" spans="1:9" ht="18" customHeight="1">
      <c r="A5" s="335" t="s">
        <v>1003</v>
      </c>
      <c r="B5" s="335"/>
      <c r="C5" s="335"/>
      <c r="D5" s="335"/>
      <c r="E5" s="335"/>
      <c r="F5" s="335"/>
      <c r="G5" s="63">
        <f ca="1">SUM(G3:OFFSET(Sch10.AmountVatClaimableListTO,-1,0))</f>
        <v>0</v>
      </c>
      <c r="H5" s="110"/>
      <c r="I5" s="110"/>
    </row>
    <row r="6" spans="1:9" ht="37.5" customHeight="1">
      <c r="A6" s="112"/>
      <c r="B6" s="112"/>
      <c r="C6" s="112"/>
      <c r="D6" s="112"/>
      <c r="E6" s="112"/>
      <c r="F6" s="112"/>
      <c r="G6" s="112"/>
      <c r="H6" s="110"/>
      <c r="I6" s="110"/>
    </row>
    <row r="7" spans="1:9" ht="37.5" customHeight="1">
      <c r="A7" s="112"/>
      <c r="B7" s="112"/>
      <c r="C7" s="112"/>
      <c r="D7" s="112"/>
      <c r="E7" s="112"/>
      <c r="F7" s="112"/>
      <c r="G7" s="112"/>
      <c r="H7" s="110"/>
      <c r="I7" s="110"/>
    </row>
  </sheetData>
  <sheetProtection password="94AB" sheet="1" objects="1" scenarios="1" selectLockedCells="1"/>
  <mergeCells count="2">
    <mergeCell ref="A1:G1"/>
    <mergeCell ref="A5:F5"/>
  </mergeCells>
  <dataValidations xWindow="29386" yWindow="38738" count="7">
    <dataValidation type="textLength" allowBlank="1" showInputMessage="1" showErrorMessage="1" errorTitle="Data Error:" error="Please enter date value in dd/mm/yyyy format." promptTitle="Date:" prompt="Enter date value in dd/mm/yyyy format." sqref="C3:C4">
      <formula1>10</formula1>
      <formula2>10</formula2>
    </dataValidation>
    <dataValidation type="textLength" operator="lessThanOrEqual" allowBlank="1" showInputMessage="1" showErrorMessage="1" errorTitle="Data Error:" error="Please enter alphanumeric value of length less than or equal to 200  characters." promptTitle="Alphanumeric:" prompt="Enter alphanumeric value of length less than or equal to 200  characters.Special characters like Space , - . / : are allowed." sqref="B3:B4">
      <formula1>200</formula1>
      <formula2>0</formula2>
    </dataValidation>
    <dataValidation type="textLength" allowBlank="1" showInputMessage="1" showErrorMessage="1" errorTitle="Data Error:" error="Please enter date value in dd/mm/yyyy format." promptTitle="Date:" prompt="Enter date value in dd/mm/yyyy format." sqref="D3:D4">
      <formula1>10</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A3:A4">
      <formula1>50</formula1>
      <formula2>0</formula2>
    </dataValidation>
    <dataValidation type="textLength" operator="lessThanOrEqual" allowBlank="1" showInputMessage="1" showErrorMessage="1" errorTitle="Data Error:" error="Please enter alphanumeric value of length less than or equal to 40  characters." promptTitle="Alphanumeric:" prompt="Enter alphanumeric value of length less than or equal to 40  characters.Special characters like Space , - . / : are allowed." sqref="E3:E4">
      <formula1>40</formula1>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G3:G4">
      <formula1>0</formula1>
      <formula2>999999999999999</formula2>
    </dataValidation>
    <dataValidation type="textLength" operator="lessThanOrEqual" allowBlank="1" showInputMessage="1" showErrorMessage="1" errorTitle="Data Error:" error="Please enter Numeric value of length less than or equal to 20  characters." promptTitle="Numeric:" prompt="Enter Numeric value of length less than or equal to 20  characters.Special characters like - is allowed." sqref="F3:F4">
      <formula1>20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9.xml><?xml version="1.0" encoding="utf-8"?>
<worksheet xmlns="http://schemas.openxmlformats.org/spreadsheetml/2006/main" xmlns:r="http://schemas.openxmlformats.org/officeDocument/2006/relationships">
  <sheetPr codeName="Sheet20"/>
  <dimension ref="A1:D56"/>
  <sheetViews>
    <sheetView workbookViewId="0">
      <selection activeCell="A4" sqref="A4"/>
    </sheetView>
  </sheetViews>
  <sheetFormatPr defaultColWidth="0" defaultRowHeight="15" customHeight="1" zeroHeight="1"/>
  <cols>
    <col min="1" max="3" width="27.5703125" style="113" customWidth="1"/>
    <col min="4" max="4" width="14.42578125" style="215" customWidth="1"/>
  </cols>
  <sheetData>
    <row r="1" spans="1:4" s="114" customFormat="1" ht="31.5" customHeight="1">
      <c r="A1" s="342" t="s">
        <v>560</v>
      </c>
      <c r="B1" s="342"/>
      <c r="C1" s="342"/>
      <c r="D1" s="203"/>
    </row>
    <row r="2" spans="1:4" s="114" customFormat="1" ht="21" customHeight="1">
      <c r="A2" s="339" t="s">
        <v>570</v>
      </c>
      <c r="B2" s="340"/>
      <c r="C2" s="341"/>
      <c r="D2" s="203"/>
    </row>
    <row r="3" spans="1:4" s="205" customFormat="1" ht="33">
      <c r="A3" s="204" t="s">
        <v>830</v>
      </c>
      <c r="B3" s="204" t="s">
        <v>854</v>
      </c>
      <c r="C3" s="204" t="s">
        <v>1004</v>
      </c>
      <c r="D3" s="203"/>
    </row>
    <row r="4" spans="1:4" ht="15.75">
      <c r="A4" s="206"/>
      <c r="B4" s="207"/>
      <c r="C4" s="208"/>
      <c r="D4" s="203" t="str">
        <f>IF(COUNTBLANK(A4:C4)=3,"","INCMADV")</f>
        <v/>
      </c>
    </row>
    <row r="5" spans="1:4" ht="15.75">
      <c r="A5" s="206"/>
      <c r="B5" s="207"/>
      <c r="C5" s="208"/>
      <c r="D5" s="203" t="str">
        <f>IF(COUNTBLANK(A5:C5)=3,"","INCMADV")</f>
        <v/>
      </c>
    </row>
    <row r="6" spans="1:4" ht="16.5" customHeight="1">
      <c r="A6" s="343" t="s">
        <v>972</v>
      </c>
      <c r="B6" s="343"/>
      <c r="C6" s="209">
        <f ca="1">SUM(C4:OFFSET(Sch10.VATPaidDtlsTO,-1,0))</f>
        <v>0</v>
      </c>
      <c r="D6" s="203"/>
    </row>
    <row r="7" spans="1:4" ht="40.5" customHeight="1">
      <c r="A7" s="210"/>
      <c r="B7" s="210"/>
      <c r="C7" s="210"/>
      <c r="D7" s="203"/>
    </row>
    <row r="8" spans="1:4" ht="21" customHeight="1">
      <c r="A8" s="339" t="s">
        <v>567</v>
      </c>
      <c r="B8" s="340"/>
      <c r="C8" s="341"/>
      <c r="D8" s="211"/>
    </row>
    <row r="9" spans="1:4" ht="33" customHeight="1">
      <c r="A9" s="204" t="s">
        <v>830</v>
      </c>
      <c r="B9" s="204" t="s">
        <v>854</v>
      </c>
      <c r="C9" s="204" t="s">
        <v>1004</v>
      </c>
      <c r="D9" s="203"/>
    </row>
    <row r="10" spans="1:4" ht="15.75" customHeight="1">
      <c r="A10" s="206" t="s">
        <v>1032</v>
      </c>
      <c r="B10" s="207" t="s">
        <v>1032</v>
      </c>
      <c r="C10" s="208"/>
      <c r="D10" s="203" t="str">
        <f>IF(COUNTBLANK(A10:C10)=3,"","SFASPMT")</f>
        <v/>
      </c>
    </row>
    <row r="11" spans="1:4" ht="15.75" customHeight="1">
      <c r="A11" s="212"/>
      <c r="B11" s="213"/>
      <c r="C11" s="208"/>
      <c r="D11" s="203" t="str">
        <f>IF(COUNTBLANK(A11:C11)=3,"","SFASPMT")</f>
        <v/>
      </c>
    </row>
    <row r="12" spans="1:4" ht="16.5" customHeight="1">
      <c r="A12" s="336" t="s">
        <v>972</v>
      </c>
      <c r="B12" s="336"/>
      <c r="C12" s="209">
        <f ca="1">SUM(C10:OFFSET(Sch10.VATSelfAssPaidDtlsTO,-1,0))</f>
        <v>0</v>
      </c>
      <c r="D12" s="203"/>
    </row>
    <row r="13" spans="1:4" ht="16.5" customHeight="1">
      <c r="A13" s="337" t="s">
        <v>1005</v>
      </c>
      <c r="B13" s="338"/>
      <c r="C13" s="209">
        <f ca="1">SUM(Sch10.VATPaidDtlsTO,Sch10.VATSelfAssPaidDtlsTO)</f>
        <v>0</v>
      </c>
      <c r="D13" s="203"/>
    </row>
    <row r="14" spans="1:4" ht="15.75" customHeight="1">
      <c r="A14" s="210"/>
      <c r="B14" s="210"/>
      <c r="C14" s="210"/>
      <c r="D14" s="203"/>
    </row>
    <row r="15" spans="1:4" ht="15.75" customHeight="1">
      <c r="A15" s="210"/>
      <c r="B15" s="210"/>
      <c r="C15" s="210"/>
      <c r="D15" s="203"/>
    </row>
    <row r="16" spans="1:4" ht="15.75" customHeight="1">
      <c r="A16" s="210"/>
      <c r="B16" s="210"/>
      <c r="C16" s="210"/>
      <c r="D16" s="203"/>
    </row>
    <row r="17" spans="1:4" ht="15.75" customHeight="1">
      <c r="A17" s="339" t="s">
        <v>1087</v>
      </c>
      <c r="B17" s="340"/>
      <c r="C17" s="341"/>
      <c r="D17" s="203"/>
    </row>
    <row r="18" spans="1:4" ht="51.75" customHeight="1">
      <c r="A18" s="204" t="s">
        <v>1088</v>
      </c>
      <c r="B18" s="204" t="s">
        <v>1039</v>
      </c>
      <c r="C18" s="204" t="s">
        <v>1040</v>
      </c>
      <c r="D18" s="214"/>
    </row>
    <row r="19" spans="1:4" ht="15.75" customHeight="1">
      <c r="A19" s="272"/>
      <c r="B19" s="281"/>
      <c r="C19" s="272"/>
      <c r="D19" s="214"/>
    </row>
    <row r="20" spans="1:4" ht="15.75" customHeight="1">
      <c r="A20" s="272"/>
      <c r="B20" s="281"/>
      <c r="C20" s="272"/>
      <c r="D20" s="214"/>
    </row>
    <row r="21" spans="1:4" ht="15.75" customHeight="1">
      <c r="A21" s="336" t="s">
        <v>972</v>
      </c>
      <c r="B21" s="336"/>
      <c r="C21" s="209">
        <f ca="1">SUM(C19:OFFSET(Sch10.VATCrAdjVoucherDtlsTO,-1,0))</f>
        <v>0</v>
      </c>
      <c r="D21" s="214"/>
    </row>
    <row r="22" spans="1:4" ht="37.5" customHeight="1">
      <c r="A22" s="210"/>
      <c r="B22" s="210"/>
      <c r="C22" s="210"/>
      <c r="D22" s="214"/>
    </row>
    <row r="23" spans="1:4" hidden="1">
      <c r="A23" s="210"/>
      <c r="B23" s="210"/>
      <c r="C23" s="210"/>
      <c r="D23" s="203"/>
    </row>
    <row r="24" spans="1:4" hidden="1">
      <c r="A24" s="210"/>
      <c r="B24" s="210"/>
      <c r="C24" s="210"/>
      <c r="D24" s="203"/>
    </row>
    <row r="25" spans="1:4" hidden="1">
      <c r="A25" s="210"/>
      <c r="B25" s="210"/>
      <c r="C25" s="210"/>
      <c r="D25" s="203"/>
    </row>
    <row r="26" spans="1:4" hidden="1">
      <c r="A26" s="210"/>
      <c r="B26" s="210"/>
      <c r="C26" s="210"/>
      <c r="D26" s="203"/>
    </row>
    <row r="27" spans="1:4" hidden="1"/>
    <row r="28" spans="1:4" hidden="1"/>
    <row r="29" spans="1:4" hidden="1"/>
    <row r="30" spans="1:4" hidden="1"/>
    <row r="31" spans="1:4" s="210" customFormat="1"/>
    <row r="32" spans="1:4" s="210" customFormat="1"/>
    <row r="33" s="210" customFormat="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sheetData>
  <sheetProtection password="94AB" sheet="1" objects="1" scenarios="1" selectLockedCells="1"/>
  <mergeCells count="8">
    <mergeCell ref="A12:B12"/>
    <mergeCell ref="A13:B13"/>
    <mergeCell ref="A17:C17"/>
    <mergeCell ref="A21:B21"/>
    <mergeCell ref="A1:C1"/>
    <mergeCell ref="A2:C2"/>
    <mergeCell ref="A6:B6"/>
    <mergeCell ref="A8:C8"/>
  </mergeCells>
  <dataValidations xWindow="1040" yWindow="291" count="3">
    <dataValidation type="textLength" allowBlank="1" showInputMessage="1" showErrorMessage="1" errorTitle="Data Error:" error="Please enter date value in dd/mm/yyyy format." promptTitle="Date:" prompt="Enter date value in dd/mm/yyyy format." sqref="B10:B11 B4:B5 B19:B20">
      <formula1>10</formula1>
      <formula2>11</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C10:C11 C4:C5 C19:C20">
      <formula1>0</formula1>
      <formula2>999999999999999</formula2>
    </dataValidation>
    <dataValidation type="textLength" operator="lessThanOrEqual" allowBlank="1" showInputMessage="1" showErrorMessage="1" errorTitle="Data Error:" error="Please enter Numeric value of length less than or equal to 20  characters." promptTitle="Numeric:" prompt="Enter Numeric value of length less than or equal to 20  characters.Special characters like - is allowed." sqref="A10:A11 A4:A5 A19:A20">
      <formula1>20</formula1>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20.xml><?xml version="1.0" encoding="utf-8"?>
<worksheet xmlns="http://schemas.openxmlformats.org/spreadsheetml/2006/main" xmlns:r="http://schemas.openxmlformats.org/officeDocument/2006/relationships">
  <sheetPr codeName="Sheet36"/>
  <dimension ref="A1:IU8"/>
  <sheetViews>
    <sheetView zoomScaleNormal="100" workbookViewId="0">
      <selection activeCell="C3" sqref="C3"/>
    </sheetView>
  </sheetViews>
  <sheetFormatPr defaultColWidth="0" defaultRowHeight="15" customHeight="1" zeroHeight="1"/>
  <cols>
    <col min="1" max="5" width="27.5703125" style="237" customWidth="1"/>
    <col min="6" max="6" width="9.5703125" style="237" customWidth="1"/>
    <col min="7" max="7" width="14.42578125" style="237" hidden="1" customWidth="1"/>
    <col min="8" max="8" width="14.42578125" style="241" hidden="1" customWidth="1"/>
    <col min="9" max="255" width="0" style="240" hidden="1" customWidth="1"/>
    <col min="256" max="16384" width="8.42578125" style="240" hidden="1"/>
  </cols>
  <sheetData>
    <row r="1" spans="1:11" s="237" customFormat="1" ht="31.5" customHeight="1">
      <c r="A1" s="347" t="s">
        <v>1140</v>
      </c>
      <c r="B1" s="348"/>
      <c r="C1" s="348"/>
      <c r="D1" s="348"/>
      <c r="E1" s="349"/>
      <c r="F1" s="248"/>
      <c r="G1" s="235"/>
      <c r="H1" s="236"/>
    </row>
    <row r="2" spans="1:11" s="239" customFormat="1" ht="33">
      <c r="A2" s="238" t="s">
        <v>1111</v>
      </c>
      <c r="B2" s="238" t="s">
        <v>1112</v>
      </c>
      <c r="C2" s="238" t="s">
        <v>1113</v>
      </c>
      <c r="D2" s="238" t="s">
        <v>1114</v>
      </c>
      <c r="E2" s="238" t="s">
        <v>1128</v>
      </c>
      <c r="F2" s="248"/>
      <c r="G2" s="246"/>
      <c r="H2" s="236"/>
    </row>
    <row r="3" spans="1:11" ht="15.75" customHeight="1">
      <c r="A3" s="272"/>
      <c r="B3" s="272"/>
      <c r="C3" s="272"/>
      <c r="D3" s="272"/>
      <c r="E3" s="272"/>
      <c r="F3" s="248"/>
      <c r="G3" s="247" t="s">
        <v>1126</v>
      </c>
      <c r="H3" s="236" t="s">
        <v>1127</v>
      </c>
      <c r="I3" s="240">
        <v>100</v>
      </c>
      <c r="J3" s="240">
        <v>100</v>
      </c>
      <c r="K3" s="240">
        <v>100</v>
      </c>
    </row>
    <row r="4" spans="1:11" ht="16.5">
      <c r="A4" s="272"/>
      <c r="B4" s="272"/>
      <c r="C4" s="272"/>
      <c r="D4" s="272"/>
      <c r="E4" s="272"/>
      <c r="F4" s="248"/>
      <c r="G4" s="247"/>
      <c r="H4" s="236"/>
    </row>
    <row r="5" spans="1:11" ht="16.5" customHeight="1">
      <c r="A5" s="344" t="s">
        <v>972</v>
      </c>
      <c r="B5" s="345"/>
      <c r="C5" s="345"/>
      <c r="D5" s="346"/>
      <c r="E5" s="250">
        <f ca="1">SUM(E3:OFFSET(WithHolding.ListTO,-1,0))</f>
        <v>0</v>
      </c>
      <c r="F5" s="248"/>
      <c r="G5" s="247"/>
      <c r="H5" s="236"/>
    </row>
    <row r="6" spans="1:11" ht="37.5" customHeight="1">
      <c r="E6" s="248"/>
      <c r="F6" s="248"/>
      <c r="G6" s="246"/>
      <c r="H6" s="237"/>
    </row>
    <row r="7" spans="1:11" ht="30.75" customHeight="1">
      <c r="E7" s="248"/>
      <c r="F7" s="248"/>
      <c r="H7" s="237"/>
    </row>
    <row r="8" spans="1:11" ht="15" customHeight="1">
      <c r="E8" s="248"/>
      <c r="F8" s="248"/>
    </row>
  </sheetData>
  <sheetProtection password="94AB" sheet="1" objects="1" scenarios="1" selectLockedCells="1"/>
  <mergeCells count="2">
    <mergeCell ref="A5:D5"/>
    <mergeCell ref="A1:E1"/>
  </mergeCells>
  <dataValidations xWindow="1088" yWindow="512" count="2">
    <dataValidation type="decimal" allowBlank="1" showInputMessage="1" showErrorMessage="1" errorTitle="Data Error:" error="Please enter positive numeric value of length less than or equal to 15 digit." promptTitle="Numeric:" prompt="Enter numeric value of length less than or equal to 15 digit." sqref="F3:F4">
      <formula1>0</formula1>
      <formula2>999999999999999</formula2>
    </dataValidation>
    <dataValidation allowBlank="1" showErrorMessage="1" sqref="A3:E4"/>
  </dataValidations>
  <pageMargins left="0.7" right="0.7" top="0.75" bottom="0.75" header="0.51180555555555551" footer="0.51180555555555551"/>
  <pageSetup paperSize="9" firstPageNumber="0"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sheetPr codeName="Sheet7"/>
  <dimension ref="A1:F20"/>
  <sheetViews>
    <sheetView workbookViewId="0">
      <selection activeCell="C3" sqref="C3"/>
    </sheetView>
  </sheetViews>
  <sheetFormatPr defaultColWidth="0" defaultRowHeight="15.75" zeroHeight="1"/>
  <cols>
    <col min="1" max="1" width="8.5703125" style="52" customWidth="1"/>
    <col min="2" max="2" width="80.5703125" style="52" customWidth="1"/>
    <col min="3" max="3" width="27.5703125" style="52" customWidth="1"/>
    <col min="4" max="4" width="10.5703125" style="52" customWidth="1"/>
    <col min="5" max="5" width="27.5703125" style="52" customWidth="1"/>
    <col min="6" max="6" width="14.42578125" style="115" customWidth="1"/>
    <col min="7" max="16384" width="0" style="52" hidden="1"/>
  </cols>
  <sheetData>
    <row r="1" spans="1:6" s="117" customFormat="1" ht="31.5" customHeight="1">
      <c r="A1" s="350" t="s">
        <v>1115</v>
      </c>
      <c r="B1" s="350"/>
      <c r="C1" s="350"/>
      <c r="D1" s="350"/>
      <c r="E1" s="350"/>
      <c r="F1" s="116"/>
    </row>
    <row r="2" spans="1:6" ht="33">
      <c r="A2" s="118" t="s">
        <v>26</v>
      </c>
      <c r="B2" s="119" t="s">
        <v>1006</v>
      </c>
      <c r="C2" s="120" t="s">
        <v>1007</v>
      </c>
      <c r="D2" s="120" t="s">
        <v>1008</v>
      </c>
      <c r="E2" s="121" t="s">
        <v>1009</v>
      </c>
      <c r="F2" s="116"/>
    </row>
    <row r="3" spans="1:6" ht="31.5">
      <c r="A3" s="122">
        <v>1</v>
      </c>
      <c r="B3" s="123" t="s">
        <v>1010</v>
      </c>
      <c r="C3" s="124">
        <f ca="1">ROUND(Sch1.GeneralRateSalesDtlsTO,2)</f>
        <v>0</v>
      </c>
      <c r="D3" s="280" t="s">
        <v>1237</v>
      </c>
      <c r="E3" s="125">
        <f ca="1">Sch1.GeneralRateSalesVATTO</f>
        <v>0</v>
      </c>
      <c r="F3" s="116"/>
    </row>
    <row r="4" spans="1:6" ht="31.5">
      <c r="A4" s="122">
        <v>2</v>
      </c>
      <c r="B4" s="123" t="s">
        <v>1011</v>
      </c>
      <c r="C4" s="124">
        <f ca="1">ROUND(Sch2.OtherRateSalesDtlsTO,2)</f>
        <v>0</v>
      </c>
      <c r="D4" s="124">
        <v>8</v>
      </c>
      <c r="E4" s="125">
        <f ca="1">(C4*D4/100)</f>
        <v>0</v>
      </c>
      <c r="F4" s="116"/>
    </row>
    <row r="5" spans="1:6" ht="31.5">
      <c r="A5" s="122">
        <v>3</v>
      </c>
      <c r="B5" s="123" t="s">
        <v>1012</v>
      </c>
      <c r="C5" s="124">
        <f ca="1">ROUND(Sch3.ZeroRateSalesSecASecBTO,2)</f>
        <v>0</v>
      </c>
      <c r="D5" s="124">
        <v>0</v>
      </c>
      <c r="E5" s="125">
        <v>0</v>
      </c>
      <c r="F5" s="116"/>
    </row>
    <row r="6" spans="1:6">
      <c r="A6" s="122">
        <v>4</v>
      </c>
      <c r="B6" s="123" t="s">
        <v>1013</v>
      </c>
      <c r="C6" s="124">
        <f ca="1">ROUND(Sch4.ExemptSalesDtlsTO,2)</f>
        <v>0</v>
      </c>
      <c r="D6" s="126" t="s">
        <v>1014</v>
      </c>
      <c r="E6" s="127"/>
      <c r="F6" s="116"/>
    </row>
    <row r="7" spans="1:6" ht="16.5">
      <c r="A7" s="54">
        <v>5</v>
      </c>
      <c r="B7" s="128" t="s">
        <v>1015</v>
      </c>
      <c r="C7" s="129">
        <f ca="1">ROUND(SUM(C3:C6),2)</f>
        <v>0</v>
      </c>
      <c r="D7" s="130" t="s">
        <v>1016</v>
      </c>
      <c r="E7" s="127"/>
      <c r="F7" s="116"/>
    </row>
    <row r="8" spans="1:6" ht="16.5">
      <c r="A8" s="131">
        <v>6</v>
      </c>
      <c r="B8" s="132" t="s">
        <v>1017</v>
      </c>
      <c r="C8" s="133"/>
      <c r="D8" s="134"/>
      <c r="E8" s="135">
        <f ca="1">SUM(SecB.VATChargedOnGR,SecB.VATChargedOnOR,SecB.VATChargedOnZR)</f>
        <v>0</v>
      </c>
      <c r="F8" s="116"/>
    </row>
    <row r="9" spans="1:6">
      <c r="A9" s="136"/>
      <c r="B9" s="136"/>
      <c r="C9" s="136"/>
      <c r="D9" s="136"/>
      <c r="E9" s="136"/>
      <c r="F9" s="137"/>
    </row>
    <row r="10" spans="1:6">
      <c r="A10" s="138"/>
      <c r="B10" s="138"/>
      <c r="C10" s="138"/>
      <c r="D10" s="138"/>
      <c r="E10" s="138"/>
      <c r="F10" s="137"/>
    </row>
    <row r="11" spans="1:6" s="117" customFormat="1" ht="31.5" customHeight="1">
      <c r="A11" s="351" t="s">
        <v>1116</v>
      </c>
      <c r="B11" s="351"/>
      <c r="C11" s="351"/>
      <c r="D11" s="351"/>
      <c r="E11" s="351"/>
      <c r="F11" s="116"/>
    </row>
    <row r="12" spans="1:6" ht="33">
      <c r="A12" s="139" t="s">
        <v>26</v>
      </c>
      <c r="B12" s="119" t="s">
        <v>1018</v>
      </c>
      <c r="C12" s="120" t="s">
        <v>1007</v>
      </c>
      <c r="D12" s="120" t="s">
        <v>1008</v>
      </c>
      <c r="E12" s="121" t="s">
        <v>1019</v>
      </c>
      <c r="F12" s="116"/>
    </row>
    <row r="13" spans="1:6" ht="31.5">
      <c r="A13" s="122">
        <v>7</v>
      </c>
      <c r="B13" s="123" t="s">
        <v>1020</v>
      </c>
      <c r="C13" s="124">
        <f>Sch5.InputTaxPurchDtlsGRTO</f>
        <v>0</v>
      </c>
      <c r="D13" s="280" t="s">
        <v>1237</v>
      </c>
      <c r="E13" s="125">
        <f>Sch5.InputTaxPurchDtlsGRVATTO</f>
        <v>0</v>
      </c>
      <c r="F13" s="116"/>
    </row>
    <row r="14" spans="1:6" ht="31.5">
      <c r="A14" s="122">
        <v>8</v>
      </c>
      <c r="B14" s="123" t="s">
        <v>1021</v>
      </c>
      <c r="C14" s="124">
        <f>Sch6.InputTaxPurchDtlsORTO</f>
        <v>0</v>
      </c>
      <c r="D14" s="124">
        <v>8</v>
      </c>
      <c r="E14" s="125">
        <f>(C14*D14/100)</f>
        <v>0</v>
      </c>
      <c r="F14" s="116"/>
    </row>
    <row r="15" spans="1:6" ht="31.5">
      <c r="A15" s="122">
        <v>9</v>
      </c>
      <c r="B15" s="123" t="s">
        <v>1022</v>
      </c>
      <c r="C15" s="124">
        <f>Sch7.InputTaxPurchDtlsZRTO</f>
        <v>0</v>
      </c>
      <c r="D15" s="124">
        <v>0</v>
      </c>
      <c r="E15" s="127">
        <v>0</v>
      </c>
      <c r="F15" s="116"/>
    </row>
    <row r="16" spans="1:6" ht="31.5">
      <c r="A16" s="122">
        <v>10</v>
      </c>
      <c r="B16" s="123" t="s">
        <v>1023</v>
      </c>
      <c r="C16" s="124">
        <f>Sch8.InputTaxPurchDtlsExemptTO</f>
        <v>0</v>
      </c>
      <c r="D16" s="140" t="s">
        <v>1014</v>
      </c>
      <c r="E16" s="127"/>
      <c r="F16" s="116"/>
    </row>
    <row r="17" spans="1:6" ht="16.5">
      <c r="A17" s="54">
        <v>11</v>
      </c>
      <c r="B17" s="128" t="s">
        <v>1024</v>
      </c>
      <c r="C17" s="129">
        <f>SUM(C13:C16)</f>
        <v>0</v>
      </c>
      <c r="D17" s="140" t="s">
        <v>1016</v>
      </c>
      <c r="E17" s="141"/>
      <c r="F17" s="116"/>
    </row>
    <row r="18" spans="1:6" ht="16.5">
      <c r="A18" s="131">
        <v>12</v>
      </c>
      <c r="B18" s="142" t="s">
        <v>1025</v>
      </c>
      <c r="C18" s="134"/>
      <c r="D18" s="134"/>
      <c r="E18" s="135">
        <f>SUM(E13:E15)</f>
        <v>0</v>
      </c>
      <c r="F18" s="116"/>
    </row>
    <row r="19" spans="1:6" s="143" customFormat="1" ht="37.5" customHeight="1">
      <c r="A19" s="136"/>
      <c r="B19" s="136"/>
      <c r="C19" s="136"/>
      <c r="D19" s="136"/>
      <c r="E19" s="136"/>
      <c r="F19" s="137"/>
    </row>
    <row r="20" spans="1:6" ht="37.5" customHeight="1">
      <c r="A20" s="137"/>
      <c r="B20" s="137"/>
      <c r="C20" s="137"/>
      <c r="D20" s="137"/>
      <c r="E20" s="137"/>
      <c r="F20" s="137"/>
    </row>
  </sheetData>
  <sheetProtection password="94AB" sheet="1" objects="1" scenarios="1" selectLockedCells="1"/>
  <mergeCells count="2">
    <mergeCell ref="A1:E1"/>
    <mergeCell ref="A11:E11"/>
  </mergeCells>
  <dataValidations xWindow="47915" yWindow="16187" count="2">
    <dataValidation type="textLength" allowBlank="1" showErrorMessage="1" promptTitle="Currency" prompt="Please enter the amount in xxxxxxxxxx.xx format" sqref="C15">
      <formula1>0</formula1>
      <formula2>15</formula2>
    </dataValidation>
    <dataValidation type="textLength" allowBlank="1" showErrorMessage="1" error="Please Enter Numeric Data of maximum17 digits upto 2 Decimal Points" promptTitle="Currency" prompt="Please enter the amount in xxxxxxxxxx.xx format" sqref="C3:C7 E3:E4 E8">
      <formula1>0</formula1>
      <formula2>17</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22.xml><?xml version="1.0" encoding="utf-8"?>
<worksheet xmlns="http://schemas.openxmlformats.org/spreadsheetml/2006/main" xmlns:r="http://schemas.openxmlformats.org/officeDocument/2006/relationships">
  <sheetPr codeName="Sheet8"/>
  <dimension ref="A1:D39"/>
  <sheetViews>
    <sheetView topLeftCell="A7" workbookViewId="0">
      <selection activeCell="C11" sqref="C11"/>
    </sheetView>
  </sheetViews>
  <sheetFormatPr defaultColWidth="0" defaultRowHeight="15.75" customHeight="1" zeroHeight="1"/>
  <cols>
    <col min="1" max="1" width="8.5703125" style="52" customWidth="1"/>
    <col min="2" max="2" width="80.5703125" style="52" customWidth="1"/>
    <col min="3" max="3" width="27.5703125" style="52" customWidth="1"/>
    <col min="4" max="4" width="14.42578125" style="232" customWidth="1"/>
    <col min="5" max="16384" width="16.5703125" style="52" hidden="1"/>
  </cols>
  <sheetData>
    <row r="1" spans="1:4" s="117" customFormat="1" ht="31.5" customHeight="1">
      <c r="A1" s="352" t="s">
        <v>1138</v>
      </c>
      <c r="B1" s="352"/>
      <c r="C1" s="352"/>
      <c r="D1" s="292"/>
    </row>
    <row r="2" spans="1:4" ht="21" customHeight="1">
      <c r="A2" s="216" t="s">
        <v>26</v>
      </c>
      <c r="B2" s="217" t="s">
        <v>1026</v>
      </c>
      <c r="C2" s="218" t="s">
        <v>981</v>
      </c>
      <c r="D2" s="289"/>
    </row>
    <row r="3" spans="1:4">
      <c r="A3" s="220">
        <v>13</v>
      </c>
      <c r="B3" s="221" t="s">
        <v>1027</v>
      </c>
      <c r="C3" s="222">
        <f ca="1">ROUND(SecB.OutputTaxCharged,2)</f>
        <v>0</v>
      </c>
      <c r="D3" s="289"/>
    </row>
    <row r="4" spans="1:4">
      <c r="A4" s="220">
        <v>14</v>
      </c>
      <c r="B4" s="221" t="s">
        <v>1028</v>
      </c>
      <c r="C4" s="222">
        <f>ROUND(SecC.TotalVatPurCharged,2)</f>
        <v>0</v>
      </c>
      <c r="D4" s="289"/>
    </row>
    <row r="5" spans="1:4" ht="31.5">
      <c r="A5" s="220">
        <v>15</v>
      </c>
      <c r="B5" s="221" t="s">
        <v>1029</v>
      </c>
      <c r="C5" s="222">
        <f ca="1">ROUND(Sch10.AmountVatClaimableListTO,2)</f>
        <v>0</v>
      </c>
      <c r="D5" s="289"/>
    </row>
    <row r="6" spans="1:4">
      <c r="A6" s="220">
        <v>16</v>
      </c>
      <c r="B6" s="223" t="s">
        <v>517</v>
      </c>
      <c r="C6" s="290"/>
      <c r="D6" s="289"/>
    </row>
    <row r="7" spans="1:4">
      <c r="A7" s="220">
        <v>17</v>
      </c>
      <c r="B7" s="223" t="s">
        <v>521</v>
      </c>
      <c r="C7" s="290"/>
      <c r="D7" s="289">
        <f ca="1">ROUND(IF(SecB.TotalSales=0,0,(((Sales.GeneralRateSalesDtlsTO+Sales.OtherRateSalesDtlsTO+Sales.ZeroRateSalesSecASecBTO)/SecB.TotalSales)*100)),2)</f>
        <v>0</v>
      </c>
    </row>
    <row r="8" spans="1:4" ht="16.5">
      <c r="A8" s="224">
        <v>18</v>
      </c>
      <c r="B8" s="225" t="s">
        <v>1203</v>
      </c>
      <c r="C8" s="226">
        <f ca="1">IF(deductibleCI=0,SecD.InputVatTaxbleExemptSup,(SecD.InputVatTaxbleExemptSup-deductibleCI))</f>
        <v>0</v>
      </c>
      <c r="D8" s="289">
        <f ca="1">IF(OR(AND(SecA.RtnYear="2024",SecA.MonthCode&gt;"11"),SecA.RtnYear&gt;"2024"),ROUND(SecD.InputVatTaxbleExemptSup*prorationRate/100,2),ROUND(IF(SecB.TotalSales=0,0,IF(prorationRate&lt;10,0,IF(AND(prorationRate&gt;=10,prorationRate&lt;90),SecD.InputVatTaxbleExemptSup*prorationRate/100,SecD.InputVatTaxbleExemptSup))),2))</f>
        <v>0</v>
      </c>
    </row>
    <row r="9" spans="1:4" ht="16.5">
      <c r="A9" s="224">
        <v>19</v>
      </c>
      <c r="B9" s="227" t="s">
        <v>1204</v>
      </c>
      <c r="C9" s="226">
        <f ca="1">ROUND(TaxDue.TotalVatPurCharged,2)+ROUND(TaxDue.AmountVatClaimableListTO,2)-ROUND(SecD.InputVatExemptSup,2)-ROUND(SecD.LessNonDedTnputTax,2)</f>
        <v>0</v>
      </c>
      <c r="D9" s="289"/>
    </row>
    <row r="10" spans="1:4" ht="16.5">
      <c r="A10" s="224">
        <v>20</v>
      </c>
      <c r="B10" s="227" t="s">
        <v>1030</v>
      </c>
      <c r="C10" s="226">
        <f ca="1">ROUND(TaxDue.OutputTaxCharged,2)-ROUND(SecD.DeductableIPTax,2)</f>
        <v>0</v>
      </c>
      <c r="D10" s="289"/>
    </row>
    <row r="11" spans="1:4">
      <c r="A11" s="220">
        <v>21</v>
      </c>
      <c r="B11" s="221" t="s">
        <v>537</v>
      </c>
      <c r="C11" s="228">
        <v>0</v>
      </c>
      <c r="D11" s="289">
        <v>0</v>
      </c>
    </row>
    <row r="12" spans="1:4" ht="31.5">
      <c r="A12" s="220">
        <v>22</v>
      </c>
      <c r="B12" s="221" t="s">
        <v>1141</v>
      </c>
      <c r="C12" s="228">
        <v>0</v>
      </c>
      <c r="D12" s="289"/>
    </row>
    <row r="13" spans="1:4">
      <c r="A13" s="220">
        <v>23</v>
      </c>
      <c r="B13" s="221" t="s">
        <v>541</v>
      </c>
      <c r="C13" s="228"/>
      <c r="D13" s="289"/>
    </row>
    <row r="14" spans="1:4" ht="16.5">
      <c r="A14" s="224">
        <v>24</v>
      </c>
      <c r="B14" s="227" t="s">
        <v>1139</v>
      </c>
      <c r="C14" s="226">
        <f ca="1">ROUND(SecD.FinalTaxPayable,2)-ROUND(SecD.CrdtBroughtFrwd,2)-ROUND(TaxDue.VATWhtTO,2)+ROUND(SecD.AddRefundClaimPaid,2)</f>
        <v>0</v>
      </c>
      <c r="D14" s="289"/>
    </row>
    <row r="15" spans="1:4" ht="31.5">
      <c r="A15" s="220">
        <v>25</v>
      </c>
      <c r="B15" s="221" t="s">
        <v>1031</v>
      </c>
      <c r="C15" s="229">
        <f ca="1">IF(SecD.TotalVatPyble&lt;0,0,Sch10.VATAdvcSelfAssPaidDtlsTO)</f>
        <v>0</v>
      </c>
      <c r="D15" s="289"/>
    </row>
    <row r="16" spans="1:4" ht="47.25">
      <c r="A16" s="220">
        <v>26</v>
      </c>
      <c r="B16" s="221" t="s">
        <v>1110</v>
      </c>
      <c r="C16" s="228">
        <f ca="1">Sch10.VATCrAdjVoucherDtlsTO</f>
        <v>0</v>
      </c>
      <c r="D16" s="289"/>
    </row>
    <row r="17" spans="1:4">
      <c r="A17" s="220">
        <v>27</v>
      </c>
      <c r="B17" s="221" t="s">
        <v>1208</v>
      </c>
      <c r="C17" s="228">
        <v>0</v>
      </c>
      <c r="D17" s="289"/>
    </row>
    <row r="18" spans="1:4" ht="16.5">
      <c r="A18" s="224">
        <v>28</v>
      </c>
      <c r="B18" s="227" t="s">
        <v>1210</v>
      </c>
      <c r="C18" s="230">
        <f ca="1">ROUND(SecD.TotalVatPyble,2)-ROUND(TaxDue.VATPaidDtlsTO,2)-ROUND(TaxDue.CrAdjVoucherDtlsTO,2)+ROUND(TaxDue.DbAdjVoucherDtlsTO,2)</f>
        <v>0</v>
      </c>
      <c r="D18" s="289"/>
    </row>
    <row r="19" spans="1:4" ht="37.5" customHeight="1">
      <c r="A19" s="231"/>
      <c r="B19" s="231"/>
      <c r="C19" s="231"/>
      <c r="D19" s="219"/>
    </row>
    <row r="20" spans="1:4" ht="38.25" customHeight="1">
      <c r="A20" s="231"/>
      <c r="B20" s="231"/>
      <c r="C20" s="231"/>
      <c r="D20" s="219"/>
    </row>
    <row r="21" spans="1:4" hidden="1">
      <c r="A21" s="231"/>
      <c r="B21" s="231"/>
      <c r="C21" s="231"/>
      <c r="D21" s="219"/>
    </row>
    <row r="22" spans="1:4" hidden="1">
      <c r="A22" s="231"/>
      <c r="B22" s="231"/>
      <c r="C22" s="231"/>
      <c r="D22" s="219"/>
    </row>
    <row r="23" spans="1:4" hidden="1">
      <c r="A23" s="231"/>
      <c r="B23" s="231"/>
      <c r="C23" s="231"/>
      <c r="D23" s="219"/>
    </row>
    <row r="24" spans="1:4" hidden="1">
      <c r="A24" s="231"/>
      <c r="B24" s="231"/>
      <c r="C24" s="231"/>
      <c r="D24" s="219"/>
    </row>
    <row r="25" spans="1:4" hidden="1"/>
    <row r="26" spans="1:4" hidden="1"/>
    <row r="27" spans="1:4" hidden="1"/>
    <row r="28" spans="1:4" hidden="1"/>
    <row r="29" spans="1:4" hidden="1"/>
    <row r="30" spans="1:4" hidden="1"/>
    <row r="31" spans="1:4" hidden="1"/>
    <row r="32" spans="1:4" hidden="1"/>
    <row r="33" hidden="1"/>
    <row r="34" hidden="1"/>
    <row r="35" hidden="1"/>
    <row r="36" hidden="1"/>
    <row r="37" hidden="1"/>
    <row r="38" hidden="1"/>
    <row r="39" hidden="1"/>
  </sheetData>
  <sheetProtection password="94AB" sheet="1" objects="1" scenarios="1" selectLockedCells="1"/>
  <mergeCells count="1">
    <mergeCell ref="A1:C1"/>
  </mergeCells>
  <dataValidations xWindow="985" yWindow="521" count="3">
    <dataValidation type="decimal" allowBlank="1" showInputMessage="1" showErrorMessage="1" errorTitle="Data Error:" error="Please enter positive numeric value of length less than or equal to 15 digit." promptTitle="Numeric:" prompt="Enter data upto length less than or equal to 15 digits." sqref="C11 C13">
      <formula1>0</formula1>
      <formula2>999999999999999</formula2>
    </dataValidation>
    <dataValidation type="decimal" allowBlank="1" showInputMessage="1" showErrorMessage="1" errorTitle="Data Error:" error="Please Enter data upto length less than or equal to 15 digits." promptTitle="Numeric:" prompt="Enter data upto length less than or equal to 15 digits." sqref="C6:C7">
      <formula1>0</formula1>
      <formula2>999999999999999</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C12 C15:C18">
      <formula1>0</formula1>
      <formula2>999999999999999</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23.xml><?xml version="1.0" encoding="utf-8"?>
<worksheet xmlns="http://schemas.openxmlformats.org/spreadsheetml/2006/main" xmlns:r="http://schemas.openxmlformats.org/officeDocument/2006/relationships">
  <sheetPr codeName="Sheet17"/>
  <dimension ref="A4:A11"/>
  <sheetViews>
    <sheetView workbookViewId="0"/>
  </sheetViews>
  <sheetFormatPr defaultRowHeight="15"/>
  <sheetData>
    <row r="4" spans="1:1">
      <c r="A4" t="s">
        <v>1244</v>
      </c>
    </row>
    <row r="5" spans="1:1">
      <c r="A5" t="s">
        <v>1145</v>
      </c>
    </row>
    <row r="10" spans="1:1">
      <c r="A10" t="s">
        <v>1244</v>
      </c>
    </row>
    <row r="11" spans="1:1">
      <c r="A11" t="s">
        <v>1145</v>
      </c>
    </row>
  </sheetData>
  <sheetProtection password="94AB" sheet="1" objects="1" scenarios="1"/>
  <pageMargins left="0.7" right="0.7" top="0.75" bottom="0.75" header="0.51180555555555551" footer="0.51180555555555551"/>
  <pageSetup paperSize="9" firstPageNumber="0"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195</vt:i4>
      </vt:variant>
    </vt:vector>
  </HeadingPairs>
  <TitlesOfParts>
    <vt:vector size="217" baseType="lpstr">
      <vt:lpstr>ReadMe</vt:lpstr>
      <vt:lpstr>Errors</vt:lpstr>
      <vt:lpstr>Data</vt:lpstr>
      <vt:lpstr>Validations</vt:lpstr>
      <vt:lpstr>ValidationList</vt:lpstr>
      <vt:lpstr>ImportCsv</vt:lpstr>
      <vt:lpstr>Macros_Disabled</vt:lpstr>
      <vt:lpstr>A_Basic_Info</vt:lpstr>
      <vt:lpstr>B_General_Rated_Sales_Dtls</vt:lpstr>
      <vt:lpstr>C_Other_Rated_Sales_Dtls</vt:lpstr>
      <vt:lpstr>D_Zero_Rated_Sales_Dtls</vt:lpstr>
      <vt:lpstr>E_Exempted_Sales_Dtls</vt:lpstr>
      <vt:lpstr>F_General_Rated_Purchases_Dtls</vt:lpstr>
      <vt:lpstr>G_Other_Rated_Purchases_Dtls</vt:lpstr>
      <vt:lpstr>H_Zero_Rated_Purchases_Dtls</vt:lpstr>
      <vt:lpstr>Extra</vt:lpstr>
      <vt:lpstr>I_Exempted_Purchases_Dtls</vt:lpstr>
      <vt:lpstr>J_VAT_Imported_Services_Dtls</vt:lpstr>
      <vt:lpstr>K_VAT_Payment_Credits</vt:lpstr>
      <vt:lpstr>L_WHT_Credits</vt:lpstr>
      <vt:lpstr>M_Sales_N_Purchases</vt:lpstr>
      <vt:lpstr>O_VAT_Due</vt:lpstr>
      <vt:lpstr>AdjustmentYN</vt:lpstr>
      <vt:lpstr>AdjustmentYNCode</vt:lpstr>
      <vt:lpstr>AdjustmntYN</vt:lpstr>
      <vt:lpstr>AdjustmntYNCode</vt:lpstr>
      <vt:lpstr>AmtBfrVAT</vt:lpstr>
      <vt:lpstr>AmtBfrVATExempt</vt:lpstr>
      <vt:lpstr>AmtBfrVATOth</vt:lpstr>
      <vt:lpstr>AmtBfrVATRate</vt:lpstr>
      <vt:lpstr>AmtBfrVATZero</vt:lpstr>
      <vt:lpstr>AmtClaimble</vt:lpstr>
      <vt:lpstr>AmtClaimbleCode</vt:lpstr>
      <vt:lpstr>BankBranchMap</vt:lpstr>
      <vt:lpstr>BankId</vt:lpstr>
      <vt:lpstr>BankNames</vt:lpstr>
      <vt:lpstr>Boolean</vt:lpstr>
      <vt:lpstr>BooleanCode</vt:lpstr>
      <vt:lpstr>BranchId</vt:lpstr>
      <vt:lpstr>BranchNames</vt:lpstr>
      <vt:lpstr>deductibleCI</vt:lpstr>
      <vt:lpstr>DescOfServices</vt:lpstr>
      <vt:lpstr>EntityType</vt:lpstr>
      <vt:lpstr>EntityTypeCode</vt:lpstr>
      <vt:lpstr>EntityTypeSorted</vt:lpstr>
      <vt:lpstr>ErrMsg.Alphabet</vt:lpstr>
      <vt:lpstr>ErrMsg.alphanumeric</vt:lpstr>
      <vt:lpstr>ErrMsg.alphanumericonly</vt:lpstr>
      <vt:lpstr>ErrMsg.CompareToTaxPayerPin</vt:lpstr>
      <vt:lpstr>ErrMsg.DateFormat</vt:lpstr>
      <vt:lpstr>ErrMsg.Mandatory</vt:lpstr>
      <vt:lpstr>ErrMsg.NumericVal</vt:lpstr>
      <vt:lpstr>ErrMsg.PinFormat</vt:lpstr>
      <vt:lpstr>ErrMsg.WithinRtnPeriod</vt:lpstr>
      <vt:lpstr>formId</vt:lpstr>
      <vt:lpstr>genXML</vt:lpstr>
      <vt:lpstr>GoodsAndServices</vt:lpstr>
      <vt:lpstr>GoodsAndServicesCode</vt:lpstr>
      <vt:lpstr>GoodsAndServicesJuly2021</vt:lpstr>
      <vt:lpstr>HavePIN</vt:lpstr>
      <vt:lpstr>moduleId</vt:lpstr>
      <vt:lpstr>Month</vt:lpstr>
      <vt:lpstr>MonthsList</vt:lpstr>
      <vt:lpstr>obligationId</vt:lpstr>
      <vt:lpstr>officeVersion</vt:lpstr>
      <vt:lpstr>PIN</vt:lpstr>
      <vt:lpstr>prorationRate</vt:lpstr>
      <vt:lpstr>Purchase.InputTaxPurchDtlsExemptTO</vt:lpstr>
      <vt:lpstr>Purchase.InputTaxPurchDtlsGRTO</vt:lpstr>
      <vt:lpstr>Purchase.InputTaxPurchDtlsORTO</vt:lpstr>
      <vt:lpstr>Purchase.InputTaxPurchDtlsZRTO</vt:lpstr>
      <vt:lpstr>Purchases</vt:lpstr>
      <vt:lpstr>PurchasesExempt</vt:lpstr>
      <vt:lpstr>PurchasesOther</vt:lpstr>
      <vt:lpstr>PurchaseZero</vt:lpstr>
      <vt:lpstr>RelevantPara</vt:lpstr>
      <vt:lpstr>RetInf.DepositStartDate</vt:lpstr>
      <vt:lpstr>RetInf.DepositStartDatePID</vt:lpstr>
      <vt:lpstr>RetInf.PIN</vt:lpstr>
      <vt:lpstr>ReturnType</vt:lpstr>
      <vt:lpstr>ReturnTypeCode</vt:lpstr>
      <vt:lpstr>ReturnTypeSorted</vt:lpstr>
      <vt:lpstr>Sales.ExemptSalesDtlsTO</vt:lpstr>
      <vt:lpstr>Sales.GeneralRateSalesDtlsTO</vt:lpstr>
      <vt:lpstr>Sales.OtherRateSalesDtlsTO</vt:lpstr>
      <vt:lpstr>Sales.ZeroRateSalesSecASecBTO</vt:lpstr>
      <vt:lpstr>SalesAmount</vt:lpstr>
      <vt:lpstr>Sch1.GeneralRateSalesDtlsList</vt:lpstr>
      <vt:lpstr>Sch1.GeneralRateSalesDtlsTO</vt:lpstr>
      <vt:lpstr>Sch1.GeneralRateSalesVATTO</vt:lpstr>
      <vt:lpstr>Sch1.SalesAmtWithoutPINTO</vt:lpstr>
      <vt:lpstr>Sch1.SalesAmtWithPINTO</vt:lpstr>
      <vt:lpstr>Sch1.VATAmtWithoutPINTO</vt:lpstr>
      <vt:lpstr>Sch1.VATAmtWithPINTO</vt:lpstr>
      <vt:lpstr>Sch10.AmountVatClaimableListTO</vt:lpstr>
      <vt:lpstr>Sch10.ClaimableServiceImportedList</vt:lpstr>
      <vt:lpstr>Sch10.VATAdvcSelfAssPaidDtlsTO</vt:lpstr>
      <vt:lpstr>Sch10.VATCrAdjVoucherDtlsList</vt:lpstr>
      <vt:lpstr>Sch10.VATCrAdjVoucherDtlsTO</vt:lpstr>
      <vt:lpstr>Sch10.VATPaidDtlsList</vt:lpstr>
      <vt:lpstr>Sch10.VATPaidDtlsTO</vt:lpstr>
      <vt:lpstr>Sch10.VATSelfAssPaidDtlsList</vt:lpstr>
      <vt:lpstr>Sch10.VATSelfAssPaidDtlsTO</vt:lpstr>
      <vt:lpstr>Sch2.OtherRateSalesDtlsList</vt:lpstr>
      <vt:lpstr>Sch2.OtherRateSalesDtlsTO</vt:lpstr>
      <vt:lpstr>Sch2.OtherRateSalesVATTO</vt:lpstr>
      <vt:lpstr>Sch2.SalesAmtWithoutPINTO</vt:lpstr>
      <vt:lpstr>Sch2.SalesAmtWithPINTO</vt:lpstr>
      <vt:lpstr>Sch2.VATAmtWithoutPINTO</vt:lpstr>
      <vt:lpstr>Sch2.VATAmtWithPINTO</vt:lpstr>
      <vt:lpstr>Sch3.SalesAmtWithoutPINExpTO</vt:lpstr>
      <vt:lpstr>Sch3.SalesAmtWithoutPINTO</vt:lpstr>
      <vt:lpstr>Sch3.SalesAmtWithPINExpTO</vt:lpstr>
      <vt:lpstr>Sch3.SalesAmtWithPINTO</vt:lpstr>
      <vt:lpstr>Sch3.ZeroRateExportList</vt:lpstr>
      <vt:lpstr>Sch3.ZeroRateSalesDtlsList</vt:lpstr>
      <vt:lpstr>Sch3.ZeroRateSalesDtlsTO</vt:lpstr>
      <vt:lpstr>Sch3.ZeroRateSalesExpTO</vt:lpstr>
      <vt:lpstr>Sch3.ZeroRateSalesSecASecBTO</vt:lpstr>
      <vt:lpstr>Sch4.ExemptSalesData</vt:lpstr>
      <vt:lpstr>Sch4.ExemptSalesDtlsList</vt:lpstr>
      <vt:lpstr>Sch4.ExemptSalesDtlsTO</vt:lpstr>
      <vt:lpstr>Sch4.SalesAmtWithoutPINTO</vt:lpstr>
      <vt:lpstr>Sch4.SalesAmtWithPINTO</vt:lpstr>
      <vt:lpstr>Sch5.AmtBfrVATWithoutPINTO</vt:lpstr>
      <vt:lpstr>Sch5.AmtBfrVATWithPINTO</vt:lpstr>
      <vt:lpstr>Sch5.AmtVATWithoutPINTO</vt:lpstr>
      <vt:lpstr>Sch5.AmtVATWithPINTO</vt:lpstr>
      <vt:lpstr>Sch5.InputTaxPurchDtlsGRList</vt:lpstr>
      <vt:lpstr>Sch5.InputTaxPurchDtlsGRTO</vt:lpstr>
      <vt:lpstr>Sch5.InputTaxPurchDtlsGRVATTO</vt:lpstr>
      <vt:lpstr>Sch6.AmtBfrVATWithoutPINTO</vt:lpstr>
      <vt:lpstr>Sch6.AmtBfrVATWithPINTO</vt:lpstr>
      <vt:lpstr>Sch6.AmtVATWithoutPINTO</vt:lpstr>
      <vt:lpstr>Sch6.AmtVATWithPINTO</vt:lpstr>
      <vt:lpstr>Sch6.InputTaxPurchDtlsORList</vt:lpstr>
      <vt:lpstr>Sch6.InputTaxPurchDtlsORTO</vt:lpstr>
      <vt:lpstr>Sch6.InputTaxPurchDtlsORVATTO</vt:lpstr>
      <vt:lpstr>Sch7.AmtBfrVATWithoutPINTO</vt:lpstr>
      <vt:lpstr>Sch7.AmtBfrVATWithPINTO</vt:lpstr>
      <vt:lpstr>Sch7.InputTaxPurchDtlsExemptList</vt:lpstr>
      <vt:lpstr>Sch7.InputTaxPurchDtlsZRTO</vt:lpstr>
      <vt:lpstr>Sch8.AmtBfrVATWithoutPINAddTO</vt:lpstr>
      <vt:lpstr>Sch8.AmtBfrVATWithoutPINTO</vt:lpstr>
      <vt:lpstr>Sch8.InputTaxPurchDtlsExemptList</vt:lpstr>
      <vt:lpstr>Sch8.InputTaxPurchDtlsExemptTO</vt:lpstr>
      <vt:lpstr>Sch8.PurchaseAmtWithPINTO</vt:lpstr>
      <vt:lpstr>Sch8.WithHoldingVATDtlsList</vt:lpstr>
      <vt:lpstr>Sch8.WithHoldingVATDtlsTO</vt:lpstr>
      <vt:lpstr>searchOffset</vt:lpstr>
      <vt:lpstr>searchoffset_Section_C</vt:lpstr>
      <vt:lpstr>SearchOffset_Section_F</vt:lpstr>
      <vt:lpstr>SearchOffset_Section_G</vt:lpstr>
      <vt:lpstr>SecA.EntityType</vt:lpstr>
      <vt:lpstr>SecA.EntityTypeCode</vt:lpstr>
      <vt:lpstr>SecA.MonthCode</vt:lpstr>
      <vt:lpstr>SecA.RtnPdFrom</vt:lpstr>
      <vt:lpstr>SecA.RtnPdTo</vt:lpstr>
      <vt:lpstr>SecA.RtnPrdToAct</vt:lpstr>
      <vt:lpstr>SecA.RtnPrdToActStart</vt:lpstr>
      <vt:lpstr>SecA.RtnType</vt:lpstr>
      <vt:lpstr>SecA.RtnYear</vt:lpstr>
      <vt:lpstr>SecA.TaxPayerPIN</vt:lpstr>
      <vt:lpstr>SecA.VatNonResident</vt:lpstr>
      <vt:lpstr>SecB.OutputTaxCharged</vt:lpstr>
      <vt:lpstr>SecB.TotalSales</vt:lpstr>
      <vt:lpstr>SecB.VATChargedOnGR</vt:lpstr>
      <vt:lpstr>SecB.VATChargedOnOR</vt:lpstr>
      <vt:lpstr>SecB.VATChargedOnZR</vt:lpstr>
      <vt:lpstr>SecC.TotalPurchases</vt:lpstr>
      <vt:lpstr>SecC.TotalVatPurCharged</vt:lpstr>
      <vt:lpstr>SecC.VATChargedOnGR</vt:lpstr>
      <vt:lpstr>SecC.VATChargedOnOR</vt:lpstr>
      <vt:lpstr>SecC.VATChargedOnZR</vt:lpstr>
      <vt:lpstr>SecD.AddRefundClaimPaid</vt:lpstr>
      <vt:lpstr>SecD.CrdtBroughtFrwd</vt:lpstr>
      <vt:lpstr>SecD.DeductableIPTax</vt:lpstr>
      <vt:lpstr>SecD.FinalTaxPayable</vt:lpstr>
      <vt:lpstr>SecD.InputVatExemptSup</vt:lpstr>
      <vt:lpstr>SecD.InputVatTaxbleExemptSup</vt:lpstr>
      <vt:lpstr>SecD.LessNonDedTnputTax</vt:lpstr>
      <vt:lpstr>SecD.NetTaxPayableClaimable</vt:lpstr>
      <vt:lpstr>secD.totalVatPayable</vt:lpstr>
      <vt:lpstr>SecD.TotalVatPyble</vt:lpstr>
      <vt:lpstr>SelectedBranchNames</vt:lpstr>
      <vt:lpstr>SortedAdjustmentYN</vt:lpstr>
      <vt:lpstr>SortedTypeOfSales</vt:lpstr>
      <vt:lpstr>SortedTypeOfSalesCode</vt:lpstr>
      <vt:lpstr>SortedTypesOdPurchasesCode</vt:lpstr>
      <vt:lpstr>SortedTypesOfPurchases</vt:lpstr>
      <vt:lpstr>taxablValueB</vt:lpstr>
      <vt:lpstr>taxablValueC</vt:lpstr>
      <vt:lpstr>TaxDue.AmountVatClaimableListTO</vt:lpstr>
      <vt:lpstr>TaxDue.CrAdjVoucherDtlsTO</vt:lpstr>
      <vt:lpstr>TaxDue.DbAdjVoucherDtlsTO</vt:lpstr>
      <vt:lpstr>TaxDue.OutputTaxCharged</vt:lpstr>
      <vt:lpstr>TaxDue.TotalVatPurCharged</vt:lpstr>
      <vt:lpstr>TaxDue.VATPaidDtlsTO</vt:lpstr>
      <vt:lpstr>TaxDue.VATWhtTO</vt:lpstr>
      <vt:lpstr>TaxRates</vt:lpstr>
      <vt:lpstr>templateInfo.formId</vt:lpstr>
      <vt:lpstr>templateInfo.moduleId</vt:lpstr>
      <vt:lpstr>templateInfo.obligId</vt:lpstr>
      <vt:lpstr>templateInfo.ofcVrsn</vt:lpstr>
      <vt:lpstr>templateInfo.tempType</vt:lpstr>
      <vt:lpstr>templateInfo.tempVrsn</vt:lpstr>
      <vt:lpstr>templateType</vt:lpstr>
      <vt:lpstr>TypesOfPurchases</vt:lpstr>
      <vt:lpstr>TypesOfPurchasesCode</vt:lpstr>
      <vt:lpstr>TypesOfPurchasesCodeJul2021</vt:lpstr>
      <vt:lpstr>TypesOfPurchasesJul2021</vt:lpstr>
      <vt:lpstr>TypesOfSales</vt:lpstr>
      <vt:lpstr>TypesOfSalesCode</vt:lpstr>
      <vt:lpstr>visibleSheetsArr</vt:lpstr>
      <vt:lpstr>WithHolding.List</vt:lpstr>
      <vt:lpstr>WithHolding.ListTO</vt:lpstr>
      <vt:lpstr>YearList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LAWRENCE NZAU MUINDI</cp:lastModifiedBy>
  <dcterms:created xsi:type="dcterms:W3CDTF">2016-04-08T13:33:00Z</dcterms:created>
  <dcterms:modified xsi:type="dcterms:W3CDTF">2025-09-18T06:16:27Z</dcterms:modified>
</cp:coreProperties>
</file>