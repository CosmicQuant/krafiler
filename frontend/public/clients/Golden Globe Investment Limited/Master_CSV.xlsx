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ayroll Data" state="visible" r:id="rId4"/>
  </sheets>
  <calcPr calcId="171027"/>
</workbook>
</file>

<file path=xl/sharedStrings.xml><?xml version="1.0" encoding="utf-8"?>
<sst xmlns="http://schemas.openxmlformats.org/spreadsheetml/2006/main" count="36" uniqueCount="34">
  <si>
    <t>COMPANY NAME:</t>
  </si>
  <si>
    <t/>
  </si>
  <si>
    <t>COMPANY KRA PIN:</t>
  </si>
  <si>
    <t>COMPANY NSSF NO:</t>
  </si>
  <si>
    <t>Payroll Number</t>
  </si>
  <si>
    <t>PIN of Employee</t>
  </si>
  <si>
    <t>ID Number</t>
  </si>
  <si>
    <t>Identity Type</t>
  </si>
  <si>
    <t>Name of Employee</t>
  </si>
  <si>
    <t>SHA No</t>
  </si>
  <si>
    <t>NSSF No</t>
  </si>
  <si>
    <t>Residential Status</t>
  </si>
  <si>
    <t>Type of Employee</t>
  </si>
  <si>
    <t>Persons with Disability(PWD)</t>
  </si>
  <si>
    <t>Exemption Certificate</t>
  </si>
  <si>
    <t>Total Cash Pay (A)</t>
  </si>
  <si>
    <t>Value of Car Benefit (B)</t>
  </si>
  <si>
    <t>Value of Meals (C)</t>
  </si>
  <si>
    <t>Non Cash Benefits (D)</t>
  </si>
  <si>
    <t>Type of Housing</t>
  </si>
  <si>
    <t>Housing Benefit (F)</t>
  </si>
  <si>
    <t>Other Benefits (G)</t>
  </si>
  <si>
    <t>Total Gross Pay (Ksh) (H)</t>
  </si>
  <si>
    <t>Social Health Insurance Fund (I)</t>
  </si>
  <si>
    <t>NSSF Contribution (J)</t>
  </si>
  <si>
    <t>Other Pension Contribution (K)</t>
  </si>
  <si>
    <t>Post Retirement Medical Fund (L)</t>
  </si>
  <si>
    <t>Mortgage Interest (M)</t>
  </si>
  <si>
    <t>Affordable Housing Levy (N)</t>
  </si>
  <si>
    <t>Taxable Pay(Ksh) (O)</t>
  </si>
  <si>
    <t>Monthly Personal Relief (Ksh) (P)</t>
  </si>
  <si>
    <t>Amount of Insurance Relief (Q)</t>
  </si>
  <si>
    <t>PAYE Tax (Ksh) (R)</t>
  </si>
  <si>
    <t>Self Assessed PAYE Tax (Ksh)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</si>
</sst>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FF0B3"/>
      </patternFill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49" fontId="0" fillId="2" borderId="0" xfId="0" applyNumberFormat="1" applyFill="1"/>
    <xf numFmtId="0" fontId="2" fillId="3" borderId="0" xfId="0" applyFont="1" applyFill="1"/>
    <xf numFmtId="0" fontId="2" fillId="4" borderId="0" xfId="0" applyFont="1" applyFill="1"/>
    <xf numFmtId="49" fontId="0" fillId="0" borderId="0" xfId="0" applyNumberFormat="1"/>
    <xf numFmtId="4" fontId="0" fillId="0" borderId="0" xfId="0" applyNumberFormat="1"/>
    <xf numFmtId="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5"/>
  <sheetFormatPr defaultRowHeight="15" outlineLevelRow="0" outlineLevelCol="0" x14ac:dyDescent="55"/>
  <cols>
    <col min="1" max="30" width="2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 t="s">
        <v>1</v>
      </c>
    </row>
    <row r="3" spans="1:2" x14ac:dyDescent="0.25">
      <c r="A3" s="1" t="s">
        <v>3</v>
      </c>
      <c r="B3" s="3" t="s">
        <v>1</v>
      </c>
    </row>
    <row r="5" spans="1:30" s="4" customForma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5" t="s">
        <v>22</v>
      </c>
      <c r="T5" s="5" t="s">
        <v>23</v>
      </c>
      <c r="U5" s="5" t="s">
        <v>24</v>
      </c>
      <c r="V5" s="4" t="s">
        <v>25</v>
      </c>
      <c r="W5" s="4" t="s">
        <v>26</v>
      </c>
      <c r="X5" s="4" t="s">
        <v>27</v>
      </c>
      <c r="Y5" s="5" t="s">
        <v>28</v>
      </c>
      <c r="Z5" s="5" t="s">
        <v>29</v>
      </c>
      <c r="AA5" s="5" t="s">
        <v>30</v>
      </c>
      <c r="AB5" s="4" t="s">
        <v>31</v>
      </c>
      <c r="AC5" s="5" t="s">
        <v>32</v>
      </c>
      <c r="AD5" s="5" t="s">
        <v>33</v>
      </c>
    </row>
    <row r="6" spans="1:30" x14ac:dyDescent="0.25">
      <c r="A6" s="6"/>
      <c r="B6" s="6"/>
      <c r="C6" s="6"/>
      <c r="F6" s="6"/>
      <c r="G6" s="6"/>
      <c r="L6" s="7"/>
      <c r="M6" s="7"/>
      <c r="N6" s="7"/>
      <c r="O6" s="7"/>
      <c r="P6" s="7"/>
      <c r="Q6" s="7"/>
      <c r="R6" s="7"/>
      <c r="S6" s="8">
        <f>IF(E6="","",SUM(L6:O6) + Q6 + R6)</f>
      </c>
      <c r="T6" s="8">
        <f>IF(E6="","",S6*0.0275)</f>
      </c>
      <c r="U6" s="8">
        <f>IF(E6="","",IF(S6&gt;0, MIN(S6*0.06, 6480), 0))</f>
      </c>
      <c r="V6" s="7"/>
      <c r="W6" s="7"/>
      <c r="X6" s="7"/>
      <c r="Y6" s="8">
        <f>IF(E6="","",S6*0.015)</f>
      </c>
      <c r="Z6" s="8">
        <f>IF(E6="","",MAX(0, S6 - T6 - U6 - V6 - W6 - X6 - Y6 - IF(J6="Yes", 150000, 0)))</f>
      </c>
      <c r="AA6" s="8">
        <f>IF(E6="","",IF(OR(L6&gt;0, E6&lt;&gt;""), 2400, 0))</f>
      </c>
      <c r="AB6" s="7"/>
      <c r="AC6" s="8">
        <f>IF(E6="","",MAX(0, MAX(0, Z6*0.1) + MAX(0, (Z6-24000)*0.15) + MAX(0, (Z6-32333)*0.05) + MAX(0, (Z6-500000)*0.025) + MAX(0, (Z6-800000)*0.025) - AA6 - AB6))</f>
      </c>
      <c r="AD6" s="8">
        <f>IF(E6="","",AC6)</f>
      </c>
    </row>
    <row r="7" spans="1:30" x14ac:dyDescent="0.25">
      <c r="A7" s="6"/>
      <c r="B7" s="6"/>
      <c r="C7" s="6"/>
      <c r="F7" s="6"/>
      <c r="G7" s="6"/>
      <c r="L7" s="7"/>
      <c r="M7" s="7"/>
      <c r="N7" s="7"/>
      <c r="O7" s="7"/>
      <c r="P7" s="7"/>
      <c r="Q7" s="7"/>
      <c r="R7" s="7"/>
      <c r="S7" s="8">
        <f>IF(E7="","",SUM(L7:O7) + Q7 + R7)</f>
      </c>
      <c r="T7" s="8">
        <f>IF(E7="","",S7*0.0275)</f>
      </c>
      <c r="U7" s="8">
        <f>IF(E7="","",IF(S7&gt;0, MIN(S7*0.06, 6480), 0))</f>
      </c>
      <c r="V7" s="7"/>
      <c r="W7" s="7"/>
      <c r="X7" s="7"/>
      <c r="Y7" s="8">
        <f>IF(E7="","",S7*0.015)</f>
      </c>
      <c r="Z7" s="8">
        <f>IF(E7="","",MAX(0, S7 - T7 - U7 - V7 - W7 - X7 - Y7 - IF(J7="Yes", 150000, 0)))</f>
      </c>
      <c r="AA7" s="8">
        <f>IF(E7="","",IF(OR(L7&gt;0, E7&lt;&gt;""), 2400, 0))</f>
      </c>
      <c r="AB7" s="7"/>
      <c r="AC7" s="8">
        <f>IF(E7="","",MAX(0, MAX(0, Z7*0.1) + MAX(0, (Z7-24000)*0.15) + MAX(0, (Z7-32333)*0.05) + MAX(0, (Z7-500000)*0.025) + MAX(0, (Z7-800000)*0.025) - AA7 - AB7))</f>
      </c>
      <c r="AD7" s="8">
        <f>IF(E7="","",AC7)</f>
      </c>
    </row>
    <row r="8" spans="1:30" x14ac:dyDescent="0.25">
      <c r="A8" s="6"/>
      <c r="B8" s="6"/>
      <c r="C8" s="6"/>
      <c r="F8" s="6"/>
      <c r="G8" s="6"/>
      <c r="L8" s="7"/>
      <c r="M8" s="7"/>
      <c r="N8" s="7"/>
      <c r="O8" s="7"/>
      <c r="P8" s="7"/>
      <c r="Q8" s="7"/>
      <c r="R8" s="7"/>
      <c r="S8" s="8">
        <f>IF(E8="","",SUM(L8:O8) + Q8 + R8)</f>
      </c>
      <c r="T8" s="8">
        <f>IF(E8="","",S8*0.0275)</f>
      </c>
      <c r="U8" s="8">
        <f>IF(E8="","",IF(S8&gt;0, MIN(S8*0.06, 6480), 0))</f>
      </c>
      <c r="V8" s="7"/>
      <c r="W8" s="7"/>
      <c r="X8" s="7"/>
      <c r="Y8" s="8">
        <f>IF(E8="","",S8*0.015)</f>
      </c>
      <c r="Z8" s="8">
        <f>IF(E8="","",MAX(0, S8 - T8 - U8 - V8 - W8 - X8 - Y8 - IF(J8="Yes", 150000, 0)))</f>
      </c>
      <c r="AA8" s="8">
        <f>IF(E8="","",IF(OR(L8&gt;0, E8&lt;&gt;""), 2400, 0))</f>
      </c>
      <c r="AB8" s="7"/>
      <c r="AC8" s="8">
        <f>IF(E8="","",MAX(0, MAX(0, Z8*0.1) + MAX(0, (Z8-24000)*0.15) + MAX(0, (Z8-32333)*0.05) + MAX(0, (Z8-500000)*0.025) + MAX(0, (Z8-800000)*0.025) - AA8 - AB8))</f>
      </c>
      <c r="AD8" s="8">
        <f>IF(E8="","",AC8)</f>
      </c>
    </row>
    <row r="9" spans="1:30" x14ac:dyDescent="0.25">
      <c r="A9" s="6"/>
      <c r="B9" s="6"/>
      <c r="C9" s="6"/>
      <c r="F9" s="6"/>
      <c r="G9" s="6"/>
      <c r="L9" s="7"/>
      <c r="M9" s="7"/>
      <c r="N9" s="7"/>
      <c r="O9" s="7"/>
      <c r="P9" s="7"/>
      <c r="Q9" s="7"/>
      <c r="R9" s="7"/>
      <c r="S9" s="8">
        <f>IF(E9="","",SUM(L9:O9) + Q9 + R9)</f>
      </c>
      <c r="T9" s="8">
        <f>IF(E9="","",S9*0.0275)</f>
      </c>
      <c r="U9" s="8">
        <f>IF(E9="","",IF(S9&gt;0, MIN(S9*0.06, 6480), 0))</f>
      </c>
      <c r="V9" s="7"/>
      <c r="W9" s="7"/>
      <c r="X9" s="7"/>
      <c r="Y9" s="8">
        <f>IF(E9="","",S9*0.015)</f>
      </c>
      <c r="Z9" s="8">
        <f>IF(E9="","",MAX(0, S9 - T9 - U9 - V9 - W9 - X9 - Y9 - IF(J9="Yes", 150000, 0)))</f>
      </c>
      <c r="AA9" s="8">
        <f>IF(E9="","",IF(OR(L9&gt;0, E9&lt;&gt;""), 2400, 0))</f>
      </c>
      <c r="AB9" s="7"/>
      <c r="AC9" s="8">
        <f>IF(E9="","",MAX(0, MAX(0, Z9*0.1) + MAX(0, (Z9-24000)*0.15) + MAX(0, (Z9-32333)*0.05) + MAX(0, (Z9-500000)*0.025) + MAX(0, (Z9-800000)*0.025) - AA9 - AB9))</f>
      </c>
      <c r="AD9" s="8">
        <f>IF(E9="","",AC9)</f>
      </c>
    </row>
    <row r="10" spans="1:30" x14ac:dyDescent="0.25">
      <c r="A10" s="6"/>
      <c r="B10" s="6"/>
      <c r="C10" s="6"/>
      <c r="F10" s="6"/>
      <c r="G10" s="6"/>
      <c r="L10" s="7"/>
      <c r="M10" s="7"/>
      <c r="N10" s="7"/>
      <c r="O10" s="7"/>
      <c r="P10" s="7"/>
      <c r="Q10" s="7"/>
      <c r="R10" s="7"/>
      <c r="S10" s="8">
        <f>IF(E10="","",SUM(L10:O10) + Q10 + R10)</f>
      </c>
      <c r="T10" s="8">
        <f>IF(E10="","",S10*0.0275)</f>
      </c>
      <c r="U10" s="8">
        <f>IF(E10="","",IF(S10&gt;0, MIN(S10*0.06, 6480), 0))</f>
      </c>
      <c r="V10" s="7"/>
      <c r="W10" s="7"/>
      <c r="X10" s="7"/>
      <c r="Y10" s="8">
        <f>IF(E10="","",S10*0.015)</f>
      </c>
      <c r="Z10" s="8">
        <f>IF(E10="","",MAX(0, S10 - T10 - U10 - V10 - W10 - X10 - Y10 - IF(J10="Yes", 150000, 0)))</f>
      </c>
      <c r="AA10" s="8">
        <f>IF(E10="","",IF(OR(L10&gt;0, E10&lt;&gt;""), 2400, 0))</f>
      </c>
      <c r="AB10" s="7"/>
      <c r="AC10" s="8">
        <f>IF(E10="","",MAX(0, MAX(0, Z10*0.1) + MAX(0, (Z10-24000)*0.15) + MAX(0, (Z10-32333)*0.05) + MAX(0, (Z10-500000)*0.025) + MAX(0, (Z10-800000)*0.025) - AA10 - AB10))</f>
      </c>
      <c r="AD10" s="8">
        <f>IF(E10="","",AC10)</f>
      </c>
    </row>
    <row r="11" spans="1:30" x14ac:dyDescent="0.25">
      <c r="A11" s="6"/>
      <c r="B11" s="6"/>
      <c r="C11" s="6"/>
      <c r="F11" s="6"/>
      <c r="G11" s="6"/>
      <c r="L11" s="7"/>
      <c r="M11" s="7"/>
      <c r="N11" s="7"/>
      <c r="O11" s="7"/>
      <c r="P11" s="7"/>
      <c r="Q11" s="7"/>
      <c r="R11" s="7"/>
      <c r="S11" s="8">
        <f>IF(E11="","",SUM(L11:O11) + Q11 + R11)</f>
      </c>
      <c r="T11" s="8">
        <f>IF(E11="","",S11*0.0275)</f>
      </c>
      <c r="U11" s="8">
        <f>IF(E11="","",IF(S11&gt;0, MIN(S11*0.06, 6480), 0))</f>
      </c>
      <c r="V11" s="7"/>
      <c r="W11" s="7"/>
      <c r="X11" s="7"/>
      <c r="Y11" s="8">
        <f>IF(E11="","",S11*0.015)</f>
      </c>
      <c r="Z11" s="8">
        <f>IF(E11="","",MAX(0, S11 - T11 - U11 - V11 - W11 - X11 - Y11 - IF(J11="Yes", 150000, 0)))</f>
      </c>
      <c r="AA11" s="8">
        <f>IF(E11="","",IF(OR(L11&gt;0, E11&lt;&gt;""), 2400, 0))</f>
      </c>
      <c r="AB11" s="7"/>
      <c r="AC11" s="8">
        <f>IF(E11="","",MAX(0, MAX(0, Z11*0.1) + MAX(0, (Z11-24000)*0.15) + MAX(0, (Z11-32333)*0.05) + MAX(0, (Z11-500000)*0.025) + MAX(0, (Z11-800000)*0.025) - AA11 - AB11))</f>
      </c>
      <c r="AD11" s="8">
        <f>IF(E11="","",AC11)</f>
      </c>
    </row>
    <row r="12" spans="1:30" x14ac:dyDescent="0.25">
      <c r="A12" s="6"/>
      <c r="B12" s="6"/>
      <c r="C12" s="6"/>
      <c r="F12" s="6"/>
      <c r="G12" s="6"/>
      <c r="L12" s="7"/>
      <c r="M12" s="7"/>
      <c r="N12" s="7"/>
      <c r="O12" s="7"/>
      <c r="P12" s="7"/>
      <c r="Q12" s="7"/>
      <c r="R12" s="7"/>
      <c r="S12" s="8">
        <f>IF(E12="","",SUM(L12:O12) + Q12 + R12)</f>
      </c>
      <c r="T12" s="8">
        <f>IF(E12="","",S12*0.0275)</f>
      </c>
      <c r="U12" s="8">
        <f>IF(E12="","",IF(S12&gt;0, MIN(S12*0.06, 6480), 0))</f>
      </c>
      <c r="V12" s="7"/>
      <c r="W12" s="7"/>
      <c r="X12" s="7"/>
      <c r="Y12" s="8">
        <f>IF(E12="","",S12*0.015)</f>
      </c>
      <c r="Z12" s="8">
        <f>IF(E12="","",MAX(0, S12 - T12 - U12 - V12 - W12 - X12 - Y12 - IF(J12="Yes", 150000, 0)))</f>
      </c>
      <c r="AA12" s="8">
        <f>IF(E12="","",IF(OR(L12&gt;0, E12&lt;&gt;""), 2400, 0))</f>
      </c>
      <c r="AB12" s="7"/>
      <c r="AC12" s="8">
        <f>IF(E12="","",MAX(0, MAX(0, Z12*0.1) + MAX(0, (Z12-24000)*0.15) + MAX(0, (Z12-32333)*0.05) + MAX(0, (Z12-500000)*0.025) + MAX(0, (Z12-800000)*0.025) - AA12 - AB12))</f>
      </c>
      <c r="AD12" s="8">
        <f>IF(E12="","",AC12)</f>
      </c>
    </row>
    <row r="13" spans="1:30" x14ac:dyDescent="0.25">
      <c r="A13" s="6"/>
      <c r="B13" s="6"/>
      <c r="C13" s="6"/>
      <c r="F13" s="6"/>
      <c r="G13" s="6"/>
      <c r="L13" s="7"/>
      <c r="M13" s="7"/>
      <c r="N13" s="7"/>
      <c r="O13" s="7"/>
      <c r="P13" s="7"/>
      <c r="Q13" s="7"/>
      <c r="R13" s="7"/>
      <c r="S13" s="8">
        <f>IF(E13="","",SUM(L13:O13) + Q13 + R13)</f>
      </c>
      <c r="T13" s="8">
        <f>IF(E13="","",S13*0.0275)</f>
      </c>
      <c r="U13" s="8">
        <f>IF(E13="","",IF(S13&gt;0, MIN(S13*0.06, 6480), 0))</f>
      </c>
      <c r="V13" s="7"/>
      <c r="W13" s="7"/>
      <c r="X13" s="7"/>
      <c r="Y13" s="8">
        <f>IF(E13="","",S13*0.015)</f>
      </c>
      <c r="Z13" s="8">
        <f>IF(E13="","",MAX(0, S13 - T13 - U13 - V13 - W13 - X13 - Y13 - IF(J13="Yes", 150000, 0)))</f>
      </c>
      <c r="AA13" s="8">
        <f>IF(E13="","",IF(OR(L13&gt;0, E13&lt;&gt;""), 2400, 0))</f>
      </c>
      <c r="AB13" s="7"/>
      <c r="AC13" s="8">
        <f>IF(E13="","",MAX(0, MAX(0, Z13*0.1) + MAX(0, (Z13-24000)*0.15) + MAX(0, (Z13-32333)*0.05) + MAX(0, (Z13-500000)*0.025) + MAX(0, (Z13-800000)*0.025) - AA13 - AB13))</f>
      </c>
      <c r="AD13" s="8">
        <f>IF(E13="","",AC13)</f>
      </c>
    </row>
    <row r="14" spans="1:30" x14ac:dyDescent="0.25">
      <c r="A14" s="6"/>
      <c r="B14" s="6"/>
      <c r="C14" s="6"/>
      <c r="F14" s="6"/>
      <c r="G14" s="6"/>
      <c r="L14" s="7"/>
      <c r="M14" s="7"/>
      <c r="N14" s="7"/>
      <c r="O14" s="7"/>
      <c r="P14" s="7"/>
      <c r="Q14" s="7"/>
      <c r="R14" s="7"/>
      <c r="S14" s="8">
        <f>IF(E14="","",SUM(L14:O14) + Q14 + R14)</f>
      </c>
      <c r="T14" s="8">
        <f>IF(E14="","",S14*0.0275)</f>
      </c>
      <c r="U14" s="8">
        <f>IF(E14="","",IF(S14&gt;0, MIN(S14*0.06, 6480), 0))</f>
      </c>
      <c r="V14" s="7"/>
      <c r="W14" s="7"/>
      <c r="X14" s="7"/>
      <c r="Y14" s="8">
        <f>IF(E14="","",S14*0.015)</f>
      </c>
      <c r="Z14" s="8">
        <f>IF(E14="","",MAX(0, S14 - T14 - U14 - V14 - W14 - X14 - Y14 - IF(J14="Yes", 150000, 0)))</f>
      </c>
      <c r="AA14" s="8">
        <f>IF(E14="","",IF(OR(L14&gt;0, E14&lt;&gt;""), 2400, 0))</f>
      </c>
      <c r="AB14" s="7"/>
      <c r="AC14" s="8">
        <f>IF(E14="","",MAX(0, MAX(0, Z14*0.1) + MAX(0, (Z14-24000)*0.15) + MAX(0, (Z14-32333)*0.05) + MAX(0, (Z14-500000)*0.025) + MAX(0, (Z14-800000)*0.025) - AA14 - AB14))</f>
      </c>
      <c r="AD14" s="8">
        <f>IF(E14="","",AC14)</f>
      </c>
    </row>
    <row r="15" spans="1:30" x14ac:dyDescent="0.25">
      <c r="A15" s="6"/>
      <c r="B15" s="6"/>
      <c r="C15" s="6"/>
      <c r="F15" s="6"/>
      <c r="G15" s="6"/>
      <c r="L15" s="7"/>
      <c r="M15" s="7"/>
      <c r="N15" s="7"/>
      <c r="O15" s="7"/>
      <c r="P15" s="7"/>
      <c r="Q15" s="7"/>
      <c r="R15" s="7"/>
      <c r="S15" s="8">
        <f>IF(E15="","",SUM(L15:O15) + Q15 + R15)</f>
      </c>
      <c r="T15" s="8">
        <f>IF(E15="","",S15*0.0275)</f>
      </c>
      <c r="U15" s="8">
        <f>IF(E15="","",IF(S15&gt;0, MIN(S15*0.06, 6480), 0))</f>
      </c>
      <c r="V15" s="7"/>
      <c r="W15" s="7"/>
      <c r="X15" s="7"/>
      <c r="Y15" s="8">
        <f>IF(E15="","",S15*0.015)</f>
      </c>
      <c r="Z15" s="8">
        <f>IF(E15="","",MAX(0, S15 - T15 - U15 - V15 - W15 - X15 - Y15 - IF(J15="Yes", 150000, 0)))</f>
      </c>
      <c r="AA15" s="8">
        <f>IF(E15="","",IF(OR(L15&gt;0, E15&lt;&gt;""), 2400, 0))</f>
      </c>
      <c r="AB15" s="7"/>
      <c r="AC15" s="8">
        <f>IF(E15="","",MAX(0, MAX(0, Z15*0.1) + MAX(0, (Z15-24000)*0.15) + MAX(0, (Z15-32333)*0.05) + MAX(0, (Z15-500000)*0.025) + MAX(0, (Z15-800000)*0.025) - AA15 - AB15))</f>
      </c>
      <c r="AD15" s="8">
        <f>IF(E15="","",AC15)</f>
      </c>
    </row>
    <row r="16" spans="1:30" x14ac:dyDescent="0.25">
      <c r="A16" s="6"/>
      <c r="B16" s="6"/>
      <c r="C16" s="6"/>
      <c r="F16" s="6"/>
      <c r="G16" s="6"/>
      <c r="L16" s="7"/>
      <c r="M16" s="7"/>
      <c r="N16" s="7"/>
      <c r="O16" s="7"/>
      <c r="P16" s="7"/>
      <c r="Q16" s="7"/>
      <c r="R16" s="7"/>
      <c r="S16" s="8">
        <f>IF(E16="","",SUM(L16:O16) + Q16 + R16)</f>
      </c>
      <c r="T16" s="8">
        <f>IF(E16="","",S16*0.0275)</f>
      </c>
      <c r="U16" s="8">
        <f>IF(E16="","",IF(S16&gt;0, MIN(S16*0.06, 6480), 0))</f>
      </c>
      <c r="V16" s="7"/>
      <c r="W16" s="7"/>
      <c r="X16" s="7"/>
      <c r="Y16" s="8">
        <f>IF(E16="","",S16*0.015)</f>
      </c>
      <c r="Z16" s="8">
        <f>IF(E16="","",MAX(0, S16 - T16 - U16 - V16 - W16 - X16 - Y16 - IF(J16="Yes", 150000, 0)))</f>
      </c>
      <c r="AA16" s="8">
        <f>IF(E16="","",IF(OR(L16&gt;0, E16&lt;&gt;""), 2400, 0))</f>
      </c>
      <c r="AB16" s="7"/>
      <c r="AC16" s="8">
        <f>IF(E16="","",MAX(0, MAX(0, Z16*0.1) + MAX(0, (Z16-24000)*0.15) + MAX(0, (Z16-32333)*0.05) + MAX(0, (Z16-500000)*0.025) + MAX(0, (Z16-800000)*0.025) - AA16 - AB16))</f>
      </c>
      <c r="AD16" s="8">
        <f>IF(E16="","",AC16)</f>
      </c>
    </row>
    <row r="17" spans="1:30" x14ac:dyDescent="0.25">
      <c r="A17" s="6"/>
      <c r="B17" s="6"/>
      <c r="C17" s="6"/>
      <c r="F17" s="6"/>
      <c r="G17" s="6"/>
      <c r="L17" s="7"/>
      <c r="M17" s="7"/>
      <c r="N17" s="7"/>
      <c r="O17" s="7"/>
      <c r="P17" s="7"/>
      <c r="Q17" s="7"/>
      <c r="R17" s="7"/>
      <c r="S17" s="8">
        <f>IF(E17="","",SUM(L17:O17) + Q17 + R17)</f>
      </c>
      <c r="T17" s="8">
        <f>IF(E17="","",S17*0.0275)</f>
      </c>
      <c r="U17" s="8">
        <f>IF(E17="","",IF(S17&gt;0, MIN(S17*0.06, 6480), 0))</f>
      </c>
      <c r="V17" s="7"/>
      <c r="W17" s="7"/>
      <c r="X17" s="7"/>
      <c r="Y17" s="8">
        <f>IF(E17="","",S17*0.015)</f>
      </c>
      <c r="Z17" s="8">
        <f>IF(E17="","",MAX(0, S17 - T17 - U17 - V17 - W17 - X17 - Y17 - IF(J17="Yes", 150000, 0)))</f>
      </c>
      <c r="AA17" s="8">
        <f>IF(E17="","",IF(OR(L17&gt;0, E17&lt;&gt;""), 2400, 0))</f>
      </c>
      <c r="AB17" s="7"/>
      <c r="AC17" s="8">
        <f>IF(E17="","",MAX(0, MAX(0, Z17*0.1) + MAX(0, (Z17-24000)*0.15) + MAX(0, (Z17-32333)*0.05) + MAX(0, (Z17-500000)*0.025) + MAX(0, (Z17-800000)*0.025) - AA17 - AB17))</f>
      </c>
      <c r="AD17" s="8">
        <f>IF(E17="","",AC17)</f>
      </c>
    </row>
    <row r="18" spans="1:30" x14ac:dyDescent="0.25">
      <c r="A18" s="6"/>
      <c r="B18" s="6"/>
      <c r="C18" s="6"/>
      <c r="F18" s="6"/>
      <c r="G18" s="6"/>
      <c r="L18" s="7"/>
      <c r="M18" s="7"/>
      <c r="N18" s="7"/>
      <c r="O18" s="7"/>
      <c r="P18" s="7"/>
      <c r="Q18" s="7"/>
      <c r="R18" s="7"/>
      <c r="S18" s="8">
        <f>IF(E18="","",SUM(L18:O18) + Q18 + R18)</f>
      </c>
      <c r="T18" s="8">
        <f>IF(E18="","",S18*0.0275)</f>
      </c>
      <c r="U18" s="8">
        <f>IF(E18="","",IF(S18&gt;0, MIN(S18*0.06, 6480), 0))</f>
      </c>
      <c r="V18" s="7"/>
      <c r="W18" s="7"/>
      <c r="X18" s="7"/>
      <c r="Y18" s="8">
        <f>IF(E18="","",S18*0.015)</f>
      </c>
      <c r="Z18" s="8">
        <f>IF(E18="","",MAX(0, S18 - T18 - U18 - V18 - W18 - X18 - Y18 - IF(J18="Yes", 150000, 0)))</f>
      </c>
      <c r="AA18" s="8">
        <f>IF(E18="","",IF(OR(L18&gt;0, E18&lt;&gt;""), 2400, 0))</f>
      </c>
      <c r="AB18" s="7"/>
      <c r="AC18" s="8">
        <f>IF(E18="","",MAX(0, MAX(0, Z18*0.1) + MAX(0, (Z18-24000)*0.15) + MAX(0, (Z18-32333)*0.05) + MAX(0, (Z18-500000)*0.025) + MAX(0, (Z18-800000)*0.025) - AA18 - AB18))</f>
      </c>
      <c r="AD18" s="8">
        <f>IF(E18="","",AC18)</f>
      </c>
    </row>
    <row r="19" spans="1:30" x14ac:dyDescent="0.25">
      <c r="A19" s="6"/>
      <c r="B19" s="6"/>
      <c r="C19" s="6"/>
      <c r="F19" s="6"/>
      <c r="G19" s="6"/>
      <c r="L19" s="7"/>
      <c r="M19" s="7"/>
      <c r="N19" s="7"/>
      <c r="O19" s="7"/>
      <c r="P19" s="7"/>
      <c r="Q19" s="7"/>
      <c r="R19" s="7"/>
      <c r="S19" s="8">
        <f>IF(E19="","",SUM(L19:O19) + Q19 + R19)</f>
      </c>
      <c r="T19" s="8">
        <f>IF(E19="","",S19*0.0275)</f>
      </c>
      <c r="U19" s="8">
        <f>IF(E19="","",IF(S19&gt;0, MIN(S19*0.06, 6480), 0))</f>
      </c>
      <c r="V19" s="7"/>
      <c r="W19" s="7"/>
      <c r="X19" s="7"/>
      <c r="Y19" s="8">
        <f>IF(E19="","",S19*0.015)</f>
      </c>
      <c r="Z19" s="8">
        <f>IF(E19="","",MAX(0, S19 - T19 - U19 - V19 - W19 - X19 - Y19 - IF(J19="Yes", 150000, 0)))</f>
      </c>
      <c r="AA19" s="8">
        <f>IF(E19="","",IF(OR(L19&gt;0, E19&lt;&gt;""), 2400, 0))</f>
      </c>
      <c r="AB19" s="7"/>
      <c r="AC19" s="8">
        <f>IF(E19="","",MAX(0, MAX(0, Z19*0.1) + MAX(0, (Z19-24000)*0.15) + MAX(0, (Z19-32333)*0.05) + MAX(0, (Z19-500000)*0.025) + MAX(0, (Z19-800000)*0.025) - AA19 - AB19))</f>
      </c>
      <c r="AD19" s="8">
        <f>IF(E19="","",AC19)</f>
      </c>
    </row>
    <row r="20" spans="1:30" x14ac:dyDescent="0.25">
      <c r="A20" s="6"/>
      <c r="B20" s="6"/>
      <c r="C20" s="6"/>
      <c r="F20" s="6"/>
      <c r="G20" s="6"/>
      <c r="L20" s="7"/>
      <c r="M20" s="7"/>
      <c r="N20" s="7"/>
      <c r="O20" s="7"/>
      <c r="P20" s="7"/>
      <c r="Q20" s="7"/>
      <c r="R20" s="7"/>
      <c r="S20" s="8">
        <f>IF(E20="","",SUM(L20:O20) + Q20 + R20)</f>
      </c>
      <c r="T20" s="8">
        <f>IF(E20="","",S20*0.0275)</f>
      </c>
      <c r="U20" s="8">
        <f>IF(E20="","",IF(S20&gt;0, MIN(S20*0.06, 6480), 0))</f>
      </c>
      <c r="V20" s="7"/>
      <c r="W20" s="7"/>
      <c r="X20" s="7"/>
      <c r="Y20" s="8">
        <f>IF(E20="","",S20*0.015)</f>
      </c>
      <c r="Z20" s="8">
        <f>IF(E20="","",MAX(0, S20 - T20 - U20 - V20 - W20 - X20 - Y20 - IF(J20="Yes", 150000, 0)))</f>
      </c>
      <c r="AA20" s="8">
        <f>IF(E20="","",IF(OR(L20&gt;0, E20&lt;&gt;""), 2400, 0))</f>
      </c>
      <c r="AB20" s="7"/>
      <c r="AC20" s="8">
        <f>IF(E20="","",MAX(0, MAX(0, Z20*0.1) + MAX(0, (Z20-24000)*0.15) + MAX(0, (Z20-32333)*0.05) + MAX(0, (Z20-500000)*0.025) + MAX(0, (Z20-800000)*0.025) - AA20 - AB20))</f>
      </c>
      <c r="AD20" s="8">
        <f>IF(E20="","",AC20)</f>
      </c>
    </row>
    <row r="21" spans="1:30" x14ac:dyDescent="0.25">
      <c r="A21" s="6"/>
      <c r="B21" s="6"/>
      <c r="C21" s="6"/>
      <c r="F21" s="6"/>
      <c r="G21" s="6"/>
      <c r="L21" s="7"/>
      <c r="M21" s="7"/>
      <c r="N21" s="7"/>
      <c r="O21" s="7"/>
      <c r="P21" s="7"/>
      <c r="Q21" s="7"/>
      <c r="R21" s="7"/>
      <c r="S21" s="8">
        <f>IF(E21="","",SUM(L21:O21) + Q21 + R21)</f>
      </c>
      <c r="T21" s="8">
        <f>IF(E21="","",S21*0.0275)</f>
      </c>
      <c r="U21" s="8">
        <f>IF(E21="","",IF(S21&gt;0, MIN(S21*0.06, 6480), 0))</f>
      </c>
      <c r="V21" s="7"/>
      <c r="W21" s="7"/>
      <c r="X21" s="7"/>
      <c r="Y21" s="8">
        <f>IF(E21="","",S21*0.015)</f>
      </c>
      <c r="Z21" s="8">
        <f>IF(E21="","",MAX(0, S21 - T21 - U21 - V21 - W21 - X21 - Y21 - IF(J21="Yes", 150000, 0)))</f>
      </c>
      <c r="AA21" s="8">
        <f>IF(E21="","",IF(OR(L21&gt;0, E21&lt;&gt;""), 2400, 0))</f>
      </c>
      <c r="AB21" s="7"/>
      <c r="AC21" s="8">
        <f>IF(E21="","",MAX(0, MAX(0, Z21*0.1) + MAX(0, (Z21-24000)*0.15) + MAX(0, (Z21-32333)*0.05) + MAX(0, (Z21-500000)*0.025) + MAX(0, (Z21-800000)*0.025) - AA21 - AB21))</f>
      </c>
      <c r="AD21" s="8">
        <f>IF(E21="","",AC21)</f>
      </c>
    </row>
    <row r="22" spans="1:30" x14ac:dyDescent="0.25">
      <c r="A22" s="6"/>
      <c r="B22" s="6"/>
      <c r="C22" s="6"/>
      <c r="F22" s="6"/>
      <c r="G22" s="6"/>
      <c r="L22" s="7"/>
      <c r="M22" s="7"/>
      <c r="N22" s="7"/>
      <c r="O22" s="7"/>
      <c r="P22" s="7"/>
      <c r="Q22" s="7"/>
      <c r="R22" s="7"/>
      <c r="S22" s="8">
        <f>IF(E22="","",SUM(L22:O22) + Q22 + R22)</f>
      </c>
      <c r="T22" s="8">
        <f>IF(E22="","",S22*0.0275)</f>
      </c>
      <c r="U22" s="8">
        <f>IF(E22="","",IF(S22&gt;0, MIN(S22*0.06, 6480), 0))</f>
      </c>
      <c r="V22" s="7"/>
      <c r="W22" s="7"/>
      <c r="X22" s="7"/>
      <c r="Y22" s="8">
        <f>IF(E22="","",S22*0.015)</f>
      </c>
      <c r="Z22" s="8">
        <f>IF(E22="","",MAX(0, S22 - T22 - U22 - V22 - W22 - X22 - Y22 - IF(J22="Yes", 150000, 0)))</f>
      </c>
      <c r="AA22" s="8">
        <f>IF(E22="","",IF(OR(L22&gt;0, E22&lt;&gt;""), 2400, 0))</f>
      </c>
      <c r="AB22" s="7"/>
      <c r="AC22" s="8">
        <f>IF(E22="","",MAX(0, MAX(0, Z22*0.1) + MAX(0, (Z22-24000)*0.15) + MAX(0, (Z22-32333)*0.05) + MAX(0, (Z22-500000)*0.025) + MAX(0, (Z22-800000)*0.025) - AA22 - AB22))</f>
      </c>
      <c r="AD22" s="8">
        <f>IF(E22="","",AC22)</f>
      </c>
    </row>
    <row r="23" spans="1:30" x14ac:dyDescent="0.25">
      <c r="A23" s="6"/>
      <c r="B23" s="6"/>
      <c r="C23" s="6"/>
      <c r="F23" s="6"/>
      <c r="G23" s="6"/>
      <c r="L23" s="7"/>
      <c r="M23" s="7"/>
      <c r="N23" s="7"/>
      <c r="O23" s="7"/>
      <c r="P23" s="7"/>
      <c r="Q23" s="7"/>
      <c r="R23" s="7"/>
      <c r="S23" s="8">
        <f>IF(E23="","",SUM(L23:O23) + Q23 + R23)</f>
      </c>
      <c r="T23" s="8">
        <f>IF(E23="","",S23*0.0275)</f>
      </c>
      <c r="U23" s="8">
        <f>IF(E23="","",IF(S23&gt;0, MIN(S23*0.06, 6480), 0))</f>
      </c>
      <c r="V23" s="7"/>
      <c r="W23" s="7"/>
      <c r="X23" s="7"/>
      <c r="Y23" s="8">
        <f>IF(E23="","",S23*0.015)</f>
      </c>
      <c r="Z23" s="8">
        <f>IF(E23="","",MAX(0, S23 - T23 - U23 - V23 - W23 - X23 - Y23 - IF(J23="Yes", 150000, 0)))</f>
      </c>
      <c r="AA23" s="8">
        <f>IF(E23="","",IF(OR(L23&gt;0, E23&lt;&gt;""), 2400, 0))</f>
      </c>
      <c r="AB23" s="7"/>
      <c r="AC23" s="8">
        <f>IF(E23="","",MAX(0, MAX(0, Z23*0.1) + MAX(0, (Z23-24000)*0.15) + MAX(0, (Z23-32333)*0.05) + MAX(0, (Z23-500000)*0.025) + MAX(0, (Z23-800000)*0.025) - AA23 - AB23))</f>
      </c>
      <c r="AD23" s="8">
        <f>IF(E23="","",AC23)</f>
      </c>
    </row>
    <row r="24" spans="1:30" x14ac:dyDescent="0.25">
      <c r="A24" s="6"/>
      <c r="B24" s="6"/>
      <c r="C24" s="6"/>
      <c r="F24" s="6"/>
      <c r="G24" s="6"/>
      <c r="L24" s="7"/>
      <c r="M24" s="7"/>
      <c r="N24" s="7"/>
      <c r="O24" s="7"/>
      <c r="P24" s="7"/>
      <c r="Q24" s="7"/>
      <c r="R24" s="7"/>
      <c r="S24" s="8">
        <f>IF(E24="","",SUM(L24:O24) + Q24 + R24)</f>
      </c>
      <c r="T24" s="8">
        <f>IF(E24="","",S24*0.0275)</f>
      </c>
      <c r="U24" s="8">
        <f>IF(E24="","",IF(S24&gt;0, MIN(S24*0.06, 6480), 0))</f>
      </c>
      <c r="V24" s="7"/>
      <c r="W24" s="7"/>
      <c r="X24" s="7"/>
      <c r="Y24" s="8">
        <f>IF(E24="","",S24*0.015)</f>
      </c>
      <c r="Z24" s="8">
        <f>IF(E24="","",MAX(0, S24 - T24 - U24 - V24 - W24 - X24 - Y24 - IF(J24="Yes", 150000, 0)))</f>
      </c>
      <c r="AA24" s="8">
        <f>IF(E24="","",IF(OR(L24&gt;0, E24&lt;&gt;""), 2400, 0))</f>
      </c>
      <c r="AB24" s="7"/>
      <c r="AC24" s="8">
        <f>IF(E24="","",MAX(0, MAX(0, Z24*0.1) + MAX(0, (Z24-24000)*0.15) + MAX(0, (Z24-32333)*0.05) + MAX(0, (Z24-500000)*0.025) + MAX(0, (Z24-800000)*0.025) - AA24 - AB24))</f>
      </c>
      <c r="AD24" s="8">
        <f>IF(E24="","",AC24)</f>
      </c>
    </row>
    <row r="25" spans="1:30" x14ac:dyDescent="0.25">
      <c r="A25" s="6"/>
      <c r="B25" s="6"/>
      <c r="C25" s="6"/>
      <c r="F25" s="6"/>
      <c r="G25" s="6"/>
      <c r="L25" s="7"/>
      <c r="M25" s="7"/>
      <c r="N25" s="7"/>
      <c r="O25" s="7"/>
      <c r="P25" s="7"/>
      <c r="Q25" s="7"/>
      <c r="R25" s="7"/>
      <c r="S25" s="8">
        <f>IF(E25="","",SUM(L25:O25) + Q25 + R25)</f>
      </c>
      <c r="T25" s="8">
        <f>IF(E25="","",S25*0.0275)</f>
      </c>
      <c r="U25" s="8">
        <f>IF(E25="","",IF(S25&gt;0, MIN(S25*0.06, 6480), 0))</f>
      </c>
      <c r="V25" s="7"/>
      <c r="W25" s="7"/>
      <c r="X25" s="7"/>
      <c r="Y25" s="8">
        <f>IF(E25="","",S25*0.015)</f>
      </c>
      <c r="Z25" s="8">
        <f>IF(E25="","",MAX(0, S25 - T25 - U25 - V25 - W25 - X25 - Y25 - IF(J25="Yes", 150000, 0)))</f>
      </c>
      <c r="AA25" s="8">
        <f>IF(E25="","",IF(OR(L25&gt;0, E25&lt;&gt;""), 2400, 0))</f>
      </c>
      <c r="AB25" s="7"/>
      <c r="AC25" s="8">
        <f>IF(E25="","",MAX(0, MAX(0, Z25*0.1) + MAX(0, (Z25-24000)*0.15) + MAX(0, (Z25-32333)*0.05) + MAX(0, (Z25-500000)*0.025) + MAX(0, (Z25-800000)*0.025) - AA25 - AB25))</f>
      </c>
      <c r="AD25" s="8">
        <f>IF(E25="","",AC25)</f>
      </c>
    </row>
    <row r="26" spans="1:30" x14ac:dyDescent="0.25">
      <c r="A26" s="6"/>
      <c r="B26" s="6"/>
      <c r="C26" s="6"/>
      <c r="F26" s="6"/>
      <c r="G26" s="6"/>
      <c r="L26" s="7"/>
      <c r="M26" s="7"/>
      <c r="N26" s="7"/>
      <c r="O26" s="7"/>
      <c r="P26" s="7"/>
      <c r="Q26" s="7"/>
      <c r="R26" s="7"/>
      <c r="S26" s="8">
        <f>IF(E26="","",SUM(L26:O26) + Q26 + R26)</f>
      </c>
      <c r="T26" s="8">
        <f>IF(E26="","",S26*0.0275)</f>
      </c>
      <c r="U26" s="8">
        <f>IF(E26="","",IF(S26&gt;0, MIN(S26*0.06, 6480), 0))</f>
      </c>
      <c r="V26" s="7"/>
      <c r="W26" s="7"/>
      <c r="X26" s="7"/>
      <c r="Y26" s="8">
        <f>IF(E26="","",S26*0.015)</f>
      </c>
      <c r="Z26" s="8">
        <f>IF(E26="","",MAX(0, S26 - T26 - U26 - V26 - W26 - X26 - Y26 - IF(J26="Yes", 150000, 0)))</f>
      </c>
      <c r="AA26" s="8">
        <f>IF(E26="","",IF(OR(L26&gt;0, E26&lt;&gt;""), 2400, 0))</f>
      </c>
      <c r="AB26" s="7"/>
      <c r="AC26" s="8">
        <f>IF(E26="","",MAX(0, MAX(0, Z26*0.1) + MAX(0, (Z26-24000)*0.15) + MAX(0, (Z26-32333)*0.05) + MAX(0, (Z26-500000)*0.025) + MAX(0, (Z26-800000)*0.025) - AA26 - AB26))</f>
      </c>
      <c r="AD26" s="8">
        <f>IF(E26="","",AC26)</f>
      </c>
    </row>
    <row r="27" spans="1:30" x14ac:dyDescent="0.25">
      <c r="A27" s="6"/>
      <c r="B27" s="6"/>
      <c r="C27" s="6"/>
      <c r="F27" s="6"/>
      <c r="G27" s="6"/>
      <c r="L27" s="7"/>
      <c r="M27" s="7"/>
      <c r="N27" s="7"/>
      <c r="O27" s="7"/>
      <c r="P27" s="7"/>
      <c r="Q27" s="7"/>
      <c r="R27" s="7"/>
      <c r="S27" s="8">
        <f>IF(E27="","",SUM(L27:O27) + Q27 + R27)</f>
      </c>
      <c r="T27" s="8">
        <f>IF(E27="","",S27*0.0275)</f>
      </c>
      <c r="U27" s="8">
        <f>IF(E27="","",IF(S27&gt;0, MIN(S27*0.06, 6480), 0))</f>
      </c>
      <c r="V27" s="7"/>
      <c r="W27" s="7"/>
      <c r="X27" s="7"/>
      <c r="Y27" s="8">
        <f>IF(E27="","",S27*0.015)</f>
      </c>
      <c r="Z27" s="8">
        <f>IF(E27="","",MAX(0, S27 - T27 - U27 - V27 - W27 - X27 - Y27 - IF(J27="Yes", 150000, 0)))</f>
      </c>
      <c r="AA27" s="8">
        <f>IF(E27="","",IF(OR(L27&gt;0, E27&lt;&gt;""), 2400, 0))</f>
      </c>
      <c r="AB27" s="7"/>
      <c r="AC27" s="8">
        <f>IF(E27="","",MAX(0, MAX(0, Z27*0.1) + MAX(0, (Z27-24000)*0.15) + MAX(0, (Z27-32333)*0.05) + MAX(0, (Z27-500000)*0.025) + MAX(0, (Z27-800000)*0.025) - AA27 - AB27))</f>
      </c>
      <c r="AD27" s="8">
        <f>IF(E27="","",AC27)</f>
      </c>
    </row>
    <row r="28" spans="1:30" x14ac:dyDescent="0.25">
      <c r="A28" s="6"/>
      <c r="B28" s="6"/>
      <c r="C28" s="6"/>
      <c r="F28" s="6"/>
      <c r="G28" s="6"/>
      <c r="L28" s="7"/>
      <c r="M28" s="7"/>
      <c r="N28" s="7"/>
      <c r="O28" s="7"/>
      <c r="P28" s="7"/>
      <c r="Q28" s="7"/>
      <c r="R28" s="7"/>
      <c r="S28" s="8">
        <f>IF(E28="","",SUM(L28:O28) + Q28 + R28)</f>
      </c>
      <c r="T28" s="8">
        <f>IF(E28="","",S28*0.0275)</f>
      </c>
      <c r="U28" s="8">
        <f>IF(E28="","",IF(S28&gt;0, MIN(S28*0.06, 6480), 0))</f>
      </c>
      <c r="V28" s="7"/>
      <c r="W28" s="7"/>
      <c r="X28" s="7"/>
      <c r="Y28" s="8">
        <f>IF(E28="","",S28*0.015)</f>
      </c>
      <c r="Z28" s="8">
        <f>IF(E28="","",MAX(0, S28 - T28 - U28 - V28 - W28 - X28 - Y28 - IF(J28="Yes", 150000, 0)))</f>
      </c>
      <c r="AA28" s="8">
        <f>IF(E28="","",IF(OR(L28&gt;0, E28&lt;&gt;""), 2400, 0))</f>
      </c>
      <c r="AB28" s="7"/>
      <c r="AC28" s="8">
        <f>IF(E28="","",MAX(0, MAX(0, Z28*0.1) + MAX(0, (Z28-24000)*0.15) + MAX(0, (Z28-32333)*0.05) + MAX(0, (Z28-500000)*0.025) + MAX(0, (Z28-800000)*0.025) - AA28 - AB28))</f>
      </c>
      <c r="AD28" s="8">
        <f>IF(E28="","",AC28)</f>
      </c>
    </row>
    <row r="29" spans="1:30" x14ac:dyDescent="0.25">
      <c r="A29" s="6"/>
      <c r="B29" s="6"/>
      <c r="C29" s="6"/>
      <c r="F29" s="6"/>
      <c r="G29" s="6"/>
      <c r="L29" s="7"/>
      <c r="M29" s="7"/>
      <c r="N29" s="7"/>
      <c r="O29" s="7"/>
      <c r="P29" s="7"/>
      <c r="Q29" s="7"/>
      <c r="R29" s="7"/>
      <c r="S29" s="8">
        <f>IF(E29="","",SUM(L29:O29) + Q29 + R29)</f>
      </c>
      <c r="T29" s="8">
        <f>IF(E29="","",S29*0.0275)</f>
      </c>
      <c r="U29" s="8">
        <f>IF(E29="","",IF(S29&gt;0, MIN(S29*0.06, 6480), 0))</f>
      </c>
      <c r="V29" s="7"/>
      <c r="W29" s="7"/>
      <c r="X29" s="7"/>
      <c r="Y29" s="8">
        <f>IF(E29="","",S29*0.015)</f>
      </c>
      <c r="Z29" s="8">
        <f>IF(E29="","",MAX(0, S29 - T29 - U29 - V29 - W29 - X29 - Y29 - IF(J29="Yes", 150000, 0)))</f>
      </c>
      <c r="AA29" s="8">
        <f>IF(E29="","",IF(OR(L29&gt;0, E29&lt;&gt;""), 2400, 0))</f>
      </c>
      <c r="AB29" s="7"/>
      <c r="AC29" s="8">
        <f>IF(E29="","",MAX(0, MAX(0, Z29*0.1) + MAX(0, (Z29-24000)*0.15) + MAX(0, (Z29-32333)*0.05) + MAX(0, (Z29-500000)*0.025) + MAX(0, (Z29-800000)*0.025) - AA29 - AB29))</f>
      </c>
      <c r="AD29" s="8">
        <f>IF(E29="","",AC29)</f>
      </c>
    </row>
    <row r="30" spans="1:30" x14ac:dyDescent="0.25">
      <c r="A30" s="6"/>
      <c r="B30" s="6"/>
      <c r="C30" s="6"/>
      <c r="F30" s="6"/>
      <c r="G30" s="6"/>
      <c r="L30" s="7"/>
      <c r="M30" s="7"/>
      <c r="N30" s="7"/>
      <c r="O30" s="7"/>
      <c r="P30" s="7"/>
      <c r="Q30" s="7"/>
      <c r="R30" s="7"/>
      <c r="S30" s="8">
        <f>IF(E30="","",SUM(L30:O30) + Q30 + R30)</f>
      </c>
      <c r="T30" s="8">
        <f>IF(E30="","",S30*0.0275)</f>
      </c>
      <c r="U30" s="8">
        <f>IF(E30="","",IF(S30&gt;0, MIN(S30*0.06, 6480), 0))</f>
      </c>
      <c r="V30" s="7"/>
      <c r="W30" s="7"/>
      <c r="X30" s="7"/>
      <c r="Y30" s="8">
        <f>IF(E30="","",S30*0.015)</f>
      </c>
      <c r="Z30" s="8">
        <f>IF(E30="","",MAX(0, S30 - T30 - U30 - V30 - W30 - X30 - Y30 - IF(J30="Yes", 150000, 0)))</f>
      </c>
      <c r="AA30" s="8">
        <f>IF(E30="","",IF(OR(L30&gt;0, E30&lt;&gt;""), 2400, 0))</f>
      </c>
      <c r="AB30" s="7"/>
      <c r="AC30" s="8">
        <f>IF(E30="","",MAX(0, MAX(0, Z30*0.1) + MAX(0, (Z30-24000)*0.15) + MAX(0, (Z30-32333)*0.05) + MAX(0, (Z30-500000)*0.025) + MAX(0, (Z30-800000)*0.025) - AA30 - AB30))</f>
      </c>
      <c r="AD30" s="8">
        <f>IF(E30="","",AC30)</f>
      </c>
    </row>
    <row r="31" spans="1:30" x14ac:dyDescent="0.25">
      <c r="A31" s="6"/>
      <c r="B31" s="6"/>
      <c r="C31" s="6"/>
      <c r="F31" s="6"/>
      <c r="G31" s="6"/>
      <c r="L31" s="7"/>
      <c r="M31" s="7"/>
      <c r="N31" s="7"/>
      <c r="O31" s="7"/>
      <c r="P31" s="7"/>
      <c r="Q31" s="7"/>
      <c r="R31" s="7"/>
      <c r="S31" s="8">
        <f>IF(E31="","",SUM(L31:O31) + Q31 + R31)</f>
      </c>
      <c r="T31" s="8">
        <f>IF(E31="","",S31*0.0275)</f>
      </c>
      <c r="U31" s="8">
        <f>IF(E31="","",IF(S31&gt;0, MIN(S31*0.06, 6480), 0))</f>
      </c>
      <c r="V31" s="7"/>
      <c r="W31" s="7"/>
      <c r="X31" s="7"/>
      <c r="Y31" s="8">
        <f>IF(E31="","",S31*0.015)</f>
      </c>
      <c r="Z31" s="8">
        <f>IF(E31="","",MAX(0, S31 - T31 - U31 - V31 - W31 - X31 - Y31 - IF(J31="Yes", 150000, 0)))</f>
      </c>
      <c r="AA31" s="8">
        <f>IF(E31="","",IF(OR(L31&gt;0, E31&lt;&gt;""), 2400, 0))</f>
      </c>
      <c r="AB31" s="7"/>
      <c r="AC31" s="8">
        <f>IF(E31="","",MAX(0, MAX(0, Z31*0.1) + MAX(0, (Z31-24000)*0.15) + MAX(0, (Z31-32333)*0.05) + MAX(0, (Z31-500000)*0.025) + MAX(0, (Z31-800000)*0.025) - AA31 - AB31))</f>
      </c>
      <c r="AD31" s="8">
        <f>IF(E31="","",AC31)</f>
      </c>
    </row>
    <row r="32" spans="1:30" x14ac:dyDescent="0.25">
      <c r="A32" s="6"/>
      <c r="B32" s="6"/>
      <c r="C32" s="6"/>
      <c r="F32" s="6"/>
      <c r="G32" s="6"/>
      <c r="L32" s="7"/>
      <c r="M32" s="7"/>
      <c r="N32" s="7"/>
      <c r="O32" s="7"/>
      <c r="P32" s="7"/>
      <c r="Q32" s="7"/>
      <c r="R32" s="7"/>
      <c r="S32" s="8">
        <f>IF(E32="","",SUM(L32:O32) + Q32 + R32)</f>
      </c>
      <c r="T32" s="8">
        <f>IF(E32="","",S32*0.0275)</f>
      </c>
      <c r="U32" s="8">
        <f>IF(E32="","",IF(S32&gt;0, MIN(S32*0.06, 6480), 0))</f>
      </c>
      <c r="V32" s="7"/>
      <c r="W32" s="7"/>
      <c r="X32" s="7"/>
      <c r="Y32" s="8">
        <f>IF(E32="","",S32*0.015)</f>
      </c>
      <c r="Z32" s="8">
        <f>IF(E32="","",MAX(0, S32 - T32 - U32 - V32 - W32 - X32 - Y32 - IF(J32="Yes", 150000, 0)))</f>
      </c>
      <c r="AA32" s="8">
        <f>IF(E32="","",IF(OR(L32&gt;0, E32&lt;&gt;""), 2400, 0))</f>
      </c>
      <c r="AB32" s="7"/>
      <c r="AC32" s="8">
        <f>IF(E32="","",MAX(0, MAX(0, Z32*0.1) + MAX(0, (Z32-24000)*0.15) + MAX(0, (Z32-32333)*0.05) + MAX(0, (Z32-500000)*0.025) + MAX(0, (Z32-800000)*0.025) - AA32 - AB32))</f>
      </c>
      <c r="AD32" s="8">
        <f>IF(E32="","",AC32)</f>
      </c>
    </row>
    <row r="33" spans="1:30" x14ac:dyDescent="0.25">
      <c r="A33" s="6"/>
      <c r="B33" s="6"/>
      <c r="C33" s="6"/>
      <c r="F33" s="6"/>
      <c r="G33" s="6"/>
      <c r="L33" s="7"/>
      <c r="M33" s="7"/>
      <c r="N33" s="7"/>
      <c r="O33" s="7"/>
      <c r="P33" s="7"/>
      <c r="Q33" s="7"/>
      <c r="R33" s="7"/>
      <c r="S33" s="8">
        <f>IF(E33="","",SUM(L33:O33) + Q33 + R33)</f>
      </c>
      <c r="T33" s="8">
        <f>IF(E33="","",S33*0.0275)</f>
      </c>
      <c r="U33" s="8">
        <f>IF(E33="","",IF(S33&gt;0, MIN(S33*0.06, 6480), 0))</f>
      </c>
      <c r="V33" s="7"/>
      <c r="W33" s="7"/>
      <c r="X33" s="7"/>
      <c r="Y33" s="8">
        <f>IF(E33="","",S33*0.015)</f>
      </c>
      <c r="Z33" s="8">
        <f>IF(E33="","",MAX(0, S33 - T33 - U33 - V33 - W33 - X33 - Y33 - IF(J33="Yes", 150000, 0)))</f>
      </c>
      <c r="AA33" s="8">
        <f>IF(E33="","",IF(OR(L33&gt;0, E33&lt;&gt;""), 2400, 0))</f>
      </c>
      <c r="AB33" s="7"/>
      <c r="AC33" s="8">
        <f>IF(E33="","",MAX(0, MAX(0, Z33*0.1) + MAX(0, (Z33-24000)*0.15) + MAX(0, (Z33-32333)*0.05) + MAX(0, (Z33-500000)*0.025) + MAX(0, (Z33-800000)*0.025) - AA33 - AB33))</f>
      </c>
      <c r="AD33" s="8">
        <f>IF(E33="","",AC33)</f>
      </c>
    </row>
    <row r="34" spans="1:30" x14ac:dyDescent="0.25">
      <c r="A34" s="6"/>
      <c r="B34" s="6"/>
      <c r="C34" s="6"/>
      <c r="F34" s="6"/>
      <c r="G34" s="6"/>
      <c r="L34" s="7"/>
      <c r="M34" s="7"/>
      <c r="N34" s="7"/>
      <c r="O34" s="7"/>
      <c r="P34" s="7"/>
      <c r="Q34" s="7"/>
      <c r="R34" s="7"/>
      <c r="S34" s="8">
        <f>IF(E34="","",SUM(L34:O34) + Q34 + R34)</f>
      </c>
      <c r="T34" s="8">
        <f>IF(E34="","",S34*0.0275)</f>
      </c>
      <c r="U34" s="8">
        <f>IF(E34="","",IF(S34&gt;0, MIN(S34*0.06, 6480), 0))</f>
      </c>
      <c r="V34" s="7"/>
      <c r="W34" s="7"/>
      <c r="X34" s="7"/>
      <c r="Y34" s="8">
        <f>IF(E34="","",S34*0.015)</f>
      </c>
      <c r="Z34" s="8">
        <f>IF(E34="","",MAX(0, S34 - T34 - U34 - V34 - W34 - X34 - Y34 - IF(J34="Yes", 150000, 0)))</f>
      </c>
      <c r="AA34" s="8">
        <f>IF(E34="","",IF(OR(L34&gt;0, E34&lt;&gt;""), 2400, 0))</f>
      </c>
      <c r="AB34" s="7"/>
      <c r="AC34" s="8">
        <f>IF(E34="","",MAX(0, MAX(0, Z34*0.1) + MAX(0, (Z34-24000)*0.15) + MAX(0, (Z34-32333)*0.05) + MAX(0, (Z34-500000)*0.025) + MAX(0, (Z34-800000)*0.025) - AA34 - AB34))</f>
      </c>
      <c r="AD34" s="8">
        <f>IF(E34="","",AC34)</f>
      </c>
    </row>
    <row r="35" spans="1:30" x14ac:dyDescent="0.25">
      <c r="A35" s="6"/>
      <c r="B35" s="6"/>
      <c r="C35" s="6"/>
      <c r="F35" s="6"/>
      <c r="G35" s="6"/>
      <c r="L35" s="7"/>
      <c r="M35" s="7"/>
      <c r="N35" s="7"/>
      <c r="O35" s="7"/>
      <c r="P35" s="7"/>
      <c r="Q35" s="7"/>
      <c r="R35" s="7"/>
      <c r="S35" s="8">
        <f>IF(E35="","",SUM(L35:O35) + Q35 + R35)</f>
      </c>
      <c r="T35" s="8">
        <f>IF(E35="","",S35*0.0275)</f>
      </c>
      <c r="U35" s="8">
        <f>IF(E35="","",IF(S35&gt;0, MIN(S35*0.06, 6480), 0))</f>
      </c>
      <c r="V35" s="7"/>
      <c r="W35" s="7"/>
      <c r="X35" s="7"/>
      <c r="Y35" s="8">
        <f>IF(E35="","",S35*0.015)</f>
      </c>
      <c r="Z35" s="8">
        <f>IF(E35="","",MAX(0, S35 - T35 - U35 - V35 - W35 - X35 - Y35 - IF(J35="Yes", 150000, 0)))</f>
      </c>
      <c r="AA35" s="8">
        <f>IF(E35="","",IF(OR(L35&gt;0, E35&lt;&gt;""), 2400, 0))</f>
      </c>
      <c r="AB35" s="7"/>
      <c r="AC35" s="8">
        <f>IF(E35="","",MAX(0, MAX(0, Z35*0.1) + MAX(0, (Z35-24000)*0.15) + MAX(0, (Z35-32333)*0.05) + MAX(0, (Z35-500000)*0.025) + MAX(0, (Z35-800000)*0.025) - AA35 - AB35))</f>
      </c>
      <c r="AD35" s="8">
        <f>IF(E35="","",AC35)</f>
      </c>
    </row>
    <row r="36" spans="1:30" x14ac:dyDescent="0.25">
      <c r="A36" s="6"/>
      <c r="B36" s="6"/>
      <c r="C36" s="6"/>
      <c r="F36" s="6"/>
      <c r="G36" s="6"/>
      <c r="L36" s="7"/>
      <c r="M36" s="7"/>
      <c r="N36" s="7"/>
      <c r="O36" s="7"/>
      <c r="P36" s="7"/>
      <c r="Q36" s="7"/>
      <c r="R36" s="7"/>
      <c r="S36" s="8">
        <f>IF(E36="","",SUM(L36:O36) + Q36 + R36)</f>
      </c>
      <c r="T36" s="8">
        <f>IF(E36="","",S36*0.0275)</f>
      </c>
      <c r="U36" s="8">
        <f>IF(E36="","",IF(S36&gt;0, MIN(S36*0.06, 6480), 0))</f>
      </c>
      <c r="V36" s="7"/>
      <c r="W36" s="7"/>
      <c r="X36" s="7"/>
      <c r="Y36" s="8">
        <f>IF(E36="","",S36*0.015)</f>
      </c>
      <c r="Z36" s="8">
        <f>IF(E36="","",MAX(0, S36 - T36 - U36 - V36 - W36 - X36 - Y36 - IF(J36="Yes", 150000, 0)))</f>
      </c>
      <c r="AA36" s="8">
        <f>IF(E36="","",IF(OR(L36&gt;0, E36&lt;&gt;""), 2400, 0))</f>
      </c>
      <c r="AB36" s="7"/>
      <c r="AC36" s="8">
        <f>IF(E36="","",MAX(0, MAX(0, Z36*0.1) + MAX(0, (Z36-24000)*0.15) + MAX(0, (Z36-32333)*0.05) + MAX(0, (Z36-500000)*0.025) + MAX(0, (Z36-800000)*0.025) - AA36 - AB36))</f>
      </c>
      <c r="AD36" s="8">
        <f>IF(E36="","",AC36)</f>
      </c>
    </row>
    <row r="37" spans="1:30" x14ac:dyDescent="0.25">
      <c r="A37" s="6"/>
      <c r="B37" s="6"/>
      <c r="C37" s="6"/>
      <c r="F37" s="6"/>
      <c r="G37" s="6"/>
      <c r="L37" s="7"/>
      <c r="M37" s="7"/>
      <c r="N37" s="7"/>
      <c r="O37" s="7"/>
      <c r="P37" s="7"/>
      <c r="Q37" s="7"/>
      <c r="R37" s="7"/>
      <c r="S37" s="8">
        <f>IF(E37="","",SUM(L37:O37) + Q37 + R37)</f>
      </c>
      <c r="T37" s="8">
        <f>IF(E37="","",S37*0.0275)</f>
      </c>
      <c r="U37" s="8">
        <f>IF(E37="","",IF(S37&gt;0, MIN(S37*0.06, 6480), 0))</f>
      </c>
      <c r="V37" s="7"/>
      <c r="W37" s="7"/>
      <c r="X37" s="7"/>
      <c r="Y37" s="8">
        <f>IF(E37="","",S37*0.015)</f>
      </c>
      <c r="Z37" s="8">
        <f>IF(E37="","",MAX(0, S37 - T37 - U37 - V37 - W37 - X37 - Y37 - IF(J37="Yes", 150000, 0)))</f>
      </c>
      <c r="AA37" s="8">
        <f>IF(E37="","",IF(OR(L37&gt;0, E37&lt;&gt;""), 2400, 0))</f>
      </c>
      <c r="AB37" s="7"/>
      <c r="AC37" s="8">
        <f>IF(E37="","",MAX(0, MAX(0, Z37*0.1) + MAX(0, (Z37-24000)*0.15) + MAX(0, (Z37-32333)*0.05) + MAX(0, (Z37-500000)*0.025) + MAX(0, (Z37-800000)*0.025) - AA37 - AB37))</f>
      </c>
      <c r="AD37" s="8">
        <f>IF(E37="","",AC37)</f>
      </c>
    </row>
    <row r="38" spans="1:30" x14ac:dyDescent="0.25">
      <c r="A38" s="6"/>
      <c r="B38" s="6"/>
      <c r="C38" s="6"/>
      <c r="F38" s="6"/>
      <c r="G38" s="6"/>
      <c r="L38" s="7"/>
      <c r="M38" s="7"/>
      <c r="N38" s="7"/>
      <c r="O38" s="7"/>
      <c r="P38" s="7"/>
      <c r="Q38" s="7"/>
      <c r="R38" s="7"/>
      <c r="S38" s="8">
        <f>IF(E38="","",SUM(L38:O38) + Q38 + R38)</f>
      </c>
      <c r="T38" s="8">
        <f>IF(E38="","",S38*0.0275)</f>
      </c>
      <c r="U38" s="8">
        <f>IF(E38="","",IF(S38&gt;0, MIN(S38*0.06, 6480), 0))</f>
      </c>
      <c r="V38" s="7"/>
      <c r="W38" s="7"/>
      <c r="X38" s="7"/>
      <c r="Y38" s="8">
        <f>IF(E38="","",S38*0.015)</f>
      </c>
      <c r="Z38" s="8">
        <f>IF(E38="","",MAX(0, S38 - T38 - U38 - V38 - W38 - X38 - Y38 - IF(J38="Yes", 150000, 0)))</f>
      </c>
      <c r="AA38" s="8">
        <f>IF(E38="","",IF(OR(L38&gt;0, E38&lt;&gt;""), 2400, 0))</f>
      </c>
      <c r="AB38" s="7"/>
      <c r="AC38" s="8">
        <f>IF(E38="","",MAX(0, MAX(0, Z38*0.1) + MAX(0, (Z38-24000)*0.15) + MAX(0, (Z38-32333)*0.05) + MAX(0, (Z38-500000)*0.025) + MAX(0, (Z38-800000)*0.025) - AA38 - AB38))</f>
      </c>
      <c r="AD38" s="8">
        <f>IF(E38="","",AC38)</f>
      </c>
    </row>
    <row r="39" spans="1:30" x14ac:dyDescent="0.25">
      <c r="A39" s="6"/>
      <c r="B39" s="6"/>
      <c r="C39" s="6"/>
      <c r="F39" s="6"/>
      <c r="G39" s="6"/>
      <c r="L39" s="7"/>
      <c r="M39" s="7"/>
      <c r="N39" s="7"/>
      <c r="O39" s="7"/>
      <c r="P39" s="7"/>
      <c r="Q39" s="7"/>
      <c r="R39" s="7"/>
      <c r="S39" s="8">
        <f>IF(E39="","",SUM(L39:O39) + Q39 + R39)</f>
      </c>
      <c r="T39" s="8">
        <f>IF(E39="","",S39*0.0275)</f>
      </c>
      <c r="U39" s="8">
        <f>IF(E39="","",IF(S39&gt;0, MIN(S39*0.06, 6480), 0))</f>
      </c>
      <c r="V39" s="7"/>
      <c r="W39" s="7"/>
      <c r="X39" s="7"/>
      <c r="Y39" s="8">
        <f>IF(E39="","",S39*0.015)</f>
      </c>
      <c r="Z39" s="8">
        <f>IF(E39="","",MAX(0, S39 - T39 - U39 - V39 - W39 - X39 - Y39 - IF(J39="Yes", 150000, 0)))</f>
      </c>
      <c r="AA39" s="8">
        <f>IF(E39="","",IF(OR(L39&gt;0, E39&lt;&gt;""), 2400, 0))</f>
      </c>
      <c r="AB39" s="7"/>
      <c r="AC39" s="8">
        <f>IF(E39="","",MAX(0, MAX(0, Z39*0.1) + MAX(0, (Z39-24000)*0.15) + MAX(0, (Z39-32333)*0.05) + MAX(0, (Z39-500000)*0.025) + MAX(0, (Z39-800000)*0.025) - AA39 - AB39))</f>
      </c>
      <c r="AD39" s="8">
        <f>IF(E39="","",AC39)</f>
      </c>
    </row>
    <row r="40" spans="1:30" x14ac:dyDescent="0.25">
      <c r="A40" s="6"/>
      <c r="B40" s="6"/>
      <c r="C40" s="6"/>
      <c r="F40" s="6"/>
      <c r="G40" s="6"/>
      <c r="L40" s="7"/>
      <c r="M40" s="7"/>
      <c r="N40" s="7"/>
      <c r="O40" s="7"/>
      <c r="P40" s="7"/>
      <c r="Q40" s="7"/>
      <c r="R40" s="7"/>
      <c r="S40" s="8">
        <f>IF(E40="","",SUM(L40:O40) + Q40 + R40)</f>
      </c>
      <c r="T40" s="8">
        <f>IF(E40="","",S40*0.0275)</f>
      </c>
      <c r="U40" s="8">
        <f>IF(E40="","",IF(S40&gt;0, MIN(S40*0.06, 6480), 0))</f>
      </c>
      <c r="V40" s="7"/>
      <c r="W40" s="7"/>
      <c r="X40" s="7"/>
      <c r="Y40" s="8">
        <f>IF(E40="","",S40*0.015)</f>
      </c>
      <c r="Z40" s="8">
        <f>IF(E40="","",MAX(0, S40 - T40 - U40 - V40 - W40 - X40 - Y40 - IF(J40="Yes", 150000, 0)))</f>
      </c>
      <c r="AA40" s="8">
        <f>IF(E40="","",IF(OR(L40&gt;0, E40&lt;&gt;""), 2400, 0))</f>
      </c>
      <c r="AB40" s="7"/>
      <c r="AC40" s="8">
        <f>IF(E40="","",MAX(0, MAX(0, Z40*0.1) + MAX(0, (Z40-24000)*0.15) + MAX(0, (Z40-32333)*0.05) + MAX(0, (Z40-500000)*0.025) + MAX(0, (Z40-800000)*0.025) - AA40 - AB40))</f>
      </c>
      <c r="AD40" s="8">
        <f>IF(E40="","",AC40)</f>
      </c>
    </row>
    <row r="41" spans="1:30" x14ac:dyDescent="0.25">
      <c r="A41" s="6"/>
      <c r="B41" s="6"/>
      <c r="C41" s="6"/>
      <c r="F41" s="6"/>
      <c r="G41" s="6"/>
      <c r="L41" s="7"/>
      <c r="M41" s="7"/>
      <c r="N41" s="7"/>
      <c r="O41" s="7"/>
      <c r="P41" s="7"/>
      <c r="Q41" s="7"/>
      <c r="R41" s="7"/>
      <c r="S41" s="8">
        <f>IF(E41="","",SUM(L41:O41) + Q41 + R41)</f>
      </c>
      <c r="T41" s="8">
        <f>IF(E41="","",S41*0.0275)</f>
      </c>
      <c r="U41" s="8">
        <f>IF(E41="","",IF(S41&gt;0, MIN(S41*0.06, 6480), 0))</f>
      </c>
      <c r="V41" s="7"/>
      <c r="W41" s="7"/>
      <c r="X41" s="7"/>
      <c r="Y41" s="8">
        <f>IF(E41="","",S41*0.015)</f>
      </c>
      <c r="Z41" s="8">
        <f>IF(E41="","",MAX(0, S41 - T41 - U41 - V41 - W41 - X41 - Y41 - IF(J41="Yes", 150000, 0)))</f>
      </c>
      <c r="AA41" s="8">
        <f>IF(E41="","",IF(OR(L41&gt;0, E41&lt;&gt;""), 2400, 0))</f>
      </c>
      <c r="AB41" s="7"/>
      <c r="AC41" s="8">
        <f>IF(E41="","",MAX(0, MAX(0, Z41*0.1) + MAX(0, (Z41-24000)*0.15) + MAX(0, (Z41-32333)*0.05) + MAX(0, (Z41-500000)*0.025) + MAX(0, (Z41-800000)*0.025) - AA41 - AB41))</f>
      </c>
      <c r="AD41" s="8">
        <f>IF(E41="","",AC41)</f>
      </c>
    </row>
    <row r="42" spans="1:30" x14ac:dyDescent="0.25">
      <c r="A42" s="6"/>
      <c r="B42" s="6"/>
      <c r="C42" s="6"/>
      <c r="F42" s="6"/>
      <c r="G42" s="6"/>
      <c r="L42" s="7"/>
      <c r="M42" s="7"/>
      <c r="N42" s="7"/>
      <c r="O42" s="7"/>
      <c r="P42" s="7"/>
      <c r="Q42" s="7"/>
      <c r="R42" s="7"/>
      <c r="S42" s="8">
        <f>IF(E42="","",SUM(L42:O42) + Q42 + R42)</f>
      </c>
      <c r="T42" s="8">
        <f>IF(E42="","",S42*0.0275)</f>
      </c>
      <c r="U42" s="8">
        <f>IF(E42="","",IF(S42&gt;0, MIN(S42*0.06, 6480), 0))</f>
      </c>
      <c r="V42" s="7"/>
      <c r="W42" s="7"/>
      <c r="X42" s="7"/>
      <c r="Y42" s="8">
        <f>IF(E42="","",S42*0.015)</f>
      </c>
      <c r="Z42" s="8">
        <f>IF(E42="","",MAX(0, S42 - T42 - U42 - V42 - W42 - X42 - Y42 - IF(J42="Yes", 150000, 0)))</f>
      </c>
      <c r="AA42" s="8">
        <f>IF(E42="","",IF(OR(L42&gt;0, E42&lt;&gt;""), 2400, 0))</f>
      </c>
      <c r="AB42" s="7"/>
      <c r="AC42" s="8">
        <f>IF(E42="","",MAX(0, MAX(0, Z42*0.1) + MAX(0, (Z42-24000)*0.15) + MAX(0, (Z42-32333)*0.05) + MAX(0, (Z42-500000)*0.025) + MAX(0, (Z42-800000)*0.025) - AA42 - AB42))</f>
      </c>
      <c r="AD42" s="8">
        <f>IF(E42="","",AC42)</f>
      </c>
    </row>
    <row r="43" spans="1:30" x14ac:dyDescent="0.25">
      <c r="A43" s="6"/>
      <c r="B43" s="6"/>
      <c r="C43" s="6"/>
      <c r="F43" s="6"/>
      <c r="G43" s="6"/>
      <c r="L43" s="7"/>
      <c r="M43" s="7"/>
      <c r="N43" s="7"/>
      <c r="O43" s="7"/>
      <c r="P43" s="7"/>
      <c r="Q43" s="7"/>
      <c r="R43" s="7"/>
      <c r="S43" s="8">
        <f>IF(E43="","",SUM(L43:O43) + Q43 + R43)</f>
      </c>
      <c r="T43" s="8">
        <f>IF(E43="","",S43*0.0275)</f>
      </c>
      <c r="U43" s="8">
        <f>IF(E43="","",IF(S43&gt;0, MIN(S43*0.06, 6480), 0))</f>
      </c>
      <c r="V43" s="7"/>
      <c r="W43" s="7"/>
      <c r="X43" s="7"/>
      <c r="Y43" s="8">
        <f>IF(E43="","",S43*0.015)</f>
      </c>
      <c r="Z43" s="8">
        <f>IF(E43="","",MAX(0, S43 - T43 - U43 - V43 - W43 - X43 - Y43 - IF(J43="Yes", 150000, 0)))</f>
      </c>
      <c r="AA43" s="8">
        <f>IF(E43="","",IF(OR(L43&gt;0, E43&lt;&gt;""), 2400, 0))</f>
      </c>
      <c r="AB43" s="7"/>
      <c r="AC43" s="8">
        <f>IF(E43="","",MAX(0, MAX(0, Z43*0.1) + MAX(0, (Z43-24000)*0.15) + MAX(0, (Z43-32333)*0.05) + MAX(0, (Z43-500000)*0.025) + MAX(0, (Z43-800000)*0.025) - AA43 - AB43))</f>
      </c>
      <c r="AD43" s="8">
        <f>IF(E43="","",AC43)</f>
      </c>
    </row>
    <row r="44" spans="1:30" x14ac:dyDescent="0.25">
      <c r="A44" s="6"/>
      <c r="B44" s="6"/>
      <c r="C44" s="6"/>
      <c r="F44" s="6"/>
      <c r="G44" s="6"/>
      <c r="L44" s="7"/>
      <c r="M44" s="7"/>
      <c r="N44" s="7"/>
      <c r="O44" s="7"/>
      <c r="P44" s="7"/>
      <c r="Q44" s="7"/>
      <c r="R44" s="7"/>
      <c r="S44" s="8">
        <f>IF(E44="","",SUM(L44:O44) + Q44 + R44)</f>
      </c>
      <c r="T44" s="8">
        <f>IF(E44="","",S44*0.0275)</f>
      </c>
      <c r="U44" s="8">
        <f>IF(E44="","",IF(S44&gt;0, MIN(S44*0.06, 6480), 0))</f>
      </c>
      <c r="V44" s="7"/>
      <c r="W44" s="7"/>
      <c r="X44" s="7"/>
      <c r="Y44" s="8">
        <f>IF(E44="","",S44*0.015)</f>
      </c>
      <c r="Z44" s="8">
        <f>IF(E44="","",MAX(0, S44 - T44 - U44 - V44 - W44 - X44 - Y44 - IF(J44="Yes", 150000, 0)))</f>
      </c>
      <c r="AA44" s="8">
        <f>IF(E44="","",IF(OR(L44&gt;0, E44&lt;&gt;""), 2400, 0))</f>
      </c>
      <c r="AB44" s="7"/>
      <c r="AC44" s="8">
        <f>IF(E44="","",MAX(0, MAX(0, Z44*0.1) + MAX(0, (Z44-24000)*0.15) + MAX(0, (Z44-32333)*0.05) + MAX(0, (Z44-500000)*0.025) + MAX(0, (Z44-800000)*0.025) - AA44 - AB44))</f>
      </c>
      <c r="AD44" s="8">
        <f>IF(E44="","",AC44)</f>
      </c>
    </row>
    <row r="45" spans="1:30" x14ac:dyDescent="0.25">
      <c r="A45" s="6"/>
      <c r="B45" s="6"/>
      <c r="C45" s="6"/>
      <c r="F45" s="6"/>
      <c r="G45" s="6"/>
      <c r="L45" s="7"/>
      <c r="M45" s="7"/>
      <c r="N45" s="7"/>
      <c r="O45" s="7"/>
      <c r="P45" s="7"/>
      <c r="Q45" s="7"/>
      <c r="R45" s="7"/>
      <c r="S45" s="8">
        <f>IF(E45="","",SUM(L45:O45) + Q45 + R45)</f>
      </c>
      <c r="T45" s="8">
        <f>IF(E45="","",S45*0.0275)</f>
      </c>
      <c r="U45" s="8">
        <f>IF(E45="","",IF(S45&gt;0, MIN(S45*0.06, 6480), 0))</f>
      </c>
      <c r="V45" s="7"/>
      <c r="W45" s="7"/>
      <c r="X45" s="7"/>
      <c r="Y45" s="8">
        <f>IF(E45="","",S45*0.015)</f>
      </c>
      <c r="Z45" s="8">
        <f>IF(E45="","",MAX(0, S45 - T45 - U45 - V45 - W45 - X45 - Y45 - IF(J45="Yes", 150000, 0)))</f>
      </c>
      <c r="AA45" s="8">
        <f>IF(E45="","",IF(OR(L45&gt;0, E45&lt;&gt;""), 2400, 0))</f>
      </c>
      <c r="AB45" s="7"/>
      <c r="AC45" s="8">
        <f>IF(E45="","",MAX(0, MAX(0, Z45*0.1) + MAX(0, (Z45-24000)*0.15) + MAX(0, (Z45-32333)*0.05) + MAX(0, (Z45-500000)*0.025) + MAX(0, (Z45-800000)*0.025) - AA45 - AB45))</f>
      </c>
      <c r="AD45" s="8">
        <f>IF(E45="","",AC45)</f>
      </c>
    </row>
    <row r="46" spans="1:30" x14ac:dyDescent="0.25">
      <c r="A46" s="6"/>
      <c r="B46" s="6"/>
      <c r="C46" s="6"/>
      <c r="F46" s="6"/>
      <c r="G46" s="6"/>
      <c r="L46" s="7"/>
      <c r="M46" s="7"/>
      <c r="N46" s="7"/>
      <c r="O46" s="7"/>
      <c r="P46" s="7"/>
      <c r="Q46" s="7"/>
      <c r="R46" s="7"/>
      <c r="S46" s="8">
        <f>IF(E46="","",SUM(L46:O46) + Q46 + R46)</f>
      </c>
      <c r="T46" s="8">
        <f>IF(E46="","",S46*0.0275)</f>
      </c>
      <c r="U46" s="8">
        <f>IF(E46="","",IF(S46&gt;0, MIN(S46*0.06, 6480), 0))</f>
      </c>
      <c r="V46" s="7"/>
      <c r="W46" s="7"/>
      <c r="X46" s="7"/>
      <c r="Y46" s="8">
        <f>IF(E46="","",S46*0.015)</f>
      </c>
      <c r="Z46" s="8">
        <f>IF(E46="","",MAX(0, S46 - T46 - U46 - V46 - W46 - X46 - Y46 - IF(J46="Yes", 150000, 0)))</f>
      </c>
      <c r="AA46" s="8">
        <f>IF(E46="","",IF(OR(L46&gt;0, E46&lt;&gt;""), 2400, 0))</f>
      </c>
      <c r="AB46" s="7"/>
      <c r="AC46" s="8">
        <f>IF(E46="","",MAX(0, MAX(0, Z46*0.1) + MAX(0, (Z46-24000)*0.15) + MAX(0, (Z46-32333)*0.05) + MAX(0, (Z46-500000)*0.025) + MAX(0, (Z46-800000)*0.025) - AA46 - AB46))</f>
      </c>
      <c r="AD46" s="8">
        <f>IF(E46="","",AC46)</f>
      </c>
    </row>
    <row r="47" spans="1:30" x14ac:dyDescent="0.25">
      <c r="A47" s="6"/>
      <c r="B47" s="6"/>
      <c r="C47" s="6"/>
      <c r="F47" s="6"/>
      <c r="G47" s="6"/>
      <c r="L47" s="7"/>
      <c r="M47" s="7"/>
      <c r="N47" s="7"/>
      <c r="O47" s="7"/>
      <c r="P47" s="7"/>
      <c r="Q47" s="7"/>
      <c r="R47" s="7"/>
      <c r="S47" s="8">
        <f>IF(E47="","",SUM(L47:O47) + Q47 + R47)</f>
      </c>
      <c r="T47" s="8">
        <f>IF(E47="","",S47*0.0275)</f>
      </c>
      <c r="U47" s="8">
        <f>IF(E47="","",IF(S47&gt;0, MIN(S47*0.06, 6480), 0))</f>
      </c>
      <c r="V47" s="7"/>
      <c r="W47" s="7"/>
      <c r="X47" s="7"/>
      <c r="Y47" s="8">
        <f>IF(E47="","",S47*0.015)</f>
      </c>
      <c r="Z47" s="8">
        <f>IF(E47="","",MAX(0, S47 - T47 - U47 - V47 - W47 - X47 - Y47 - IF(J47="Yes", 150000, 0)))</f>
      </c>
      <c r="AA47" s="8">
        <f>IF(E47="","",IF(OR(L47&gt;0, E47&lt;&gt;""), 2400, 0))</f>
      </c>
      <c r="AB47" s="7"/>
      <c r="AC47" s="8">
        <f>IF(E47="","",MAX(0, MAX(0, Z47*0.1) + MAX(0, (Z47-24000)*0.15) + MAX(0, (Z47-32333)*0.05) + MAX(0, (Z47-500000)*0.025) + MAX(0, (Z47-800000)*0.025) - AA47 - AB47))</f>
      </c>
      <c r="AD47" s="8">
        <f>IF(E47="","",AC47)</f>
      </c>
    </row>
    <row r="48" spans="1:30" x14ac:dyDescent="0.25">
      <c r="A48" s="6"/>
      <c r="B48" s="6"/>
      <c r="C48" s="6"/>
      <c r="F48" s="6"/>
      <c r="G48" s="6"/>
      <c r="L48" s="7"/>
      <c r="M48" s="7"/>
      <c r="N48" s="7"/>
      <c r="O48" s="7"/>
      <c r="P48" s="7"/>
      <c r="Q48" s="7"/>
      <c r="R48" s="7"/>
      <c r="S48" s="8">
        <f>IF(E48="","",SUM(L48:O48) + Q48 + R48)</f>
      </c>
      <c r="T48" s="8">
        <f>IF(E48="","",S48*0.0275)</f>
      </c>
      <c r="U48" s="8">
        <f>IF(E48="","",IF(S48&gt;0, MIN(S48*0.06, 6480), 0))</f>
      </c>
      <c r="V48" s="7"/>
      <c r="W48" s="7"/>
      <c r="X48" s="7"/>
      <c r="Y48" s="8">
        <f>IF(E48="","",S48*0.015)</f>
      </c>
      <c r="Z48" s="8">
        <f>IF(E48="","",MAX(0, S48 - T48 - U48 - V48 - W48 - X48 - Y48 - IF(J48="Yes", 150000, 0)))</f>
      </c>
      <c r="AA48" s="8">
        <f>IF(E48="","",IF(OR(L48&gt;0, E48&lt;&gt;""), 2400, 0))</f>
      </c>
      <c r="AB48" s="7"/>
      <c r="AC48" s="8">
        <f>IF(E48="","",MAX(0, MAX(0, Z48*0.1) + MAX(0, (Z48-24000)*0.15) + MAX(0, (Z48-32333)*0.05) + MAX(0, (Z48-500000)*0.025) + MAX(0, (Z48-800000)*0.025) - AA48 - AB48))</f>
      </c>
      <c r="AD48" s="8">
        <f>IF(E48="","",AC48)</f>
      </c>
    </row>
    <row r="49" spans="1:30" x14ac:dyDescent="0.25">
      <c r="A49" s="6"/>
      <c r="B49" s="6"/>
      <c r="C49" s="6"/>
      <c r="F49" s="6"/>
      <c r="G49" s="6"/>
      <c r="L49" s="7"/>
      <c r="M49" s="7"/>
      <c r="N49" s="7"/>
      <c r="O49" s="7"/>
      <c r="P49" s="7"/>
      <c r="Q49" s="7"/>
      <c r="R49" s="7"/>
      <c r="S49" s="8">
        <f>IF(E49="","",SUM(L49:O49) + Q49 + R49)</f>
      </c>
      <c r="T49" s="8">
        <f>IF(E49="","",S49*0.0275)</f>
      </c>
      <c r="U49" s="8">
        <f>IF(E49="","",IF(S49&gt;0, MIN(S49*0.06, 6480), 0))</f>
      </c>
      <c r="V49" s="7"/>
      <c r="W49" s="7"/>
      <c r="X49" s="7"/>
      <c r="Y49" s="8">
        <f>IF(E49="","",S49*0.015)</f>
      </c>
      <c r="Z49" s="8">
        <f>IF(E49="","",MAX(0, S49 - T49 - U49 - V49 - W49 - X49 - Y49 - IF(J49="Yes", 150000, 0)))</f>
      </c>
      <c r="AA49" s="8">
        <f>IF(E49="","",IF(OR(L49&gt;0, E49&lt;&gt;""), 2400, 0))</f>
      </c>
      <c r="AB49" s="7"/>
      <c r="AC49" s="8">
        <f>IF(E49="","",MAX(0, MAX(0, Z49*0.1) + MAX(0, (Z49-24000)*0.15) + MAX(0, (Z49-32333)*0.05) + MAX(0, (Z49-500000)*0.025) + MAX(0, (Z49-800000)*0.025) - AA49 - AB49))</f>
      </c>
      <c r="AD49" s="8">
        <f>IF(E49="","",AC49)</f>
      </c>
    </row>
    <row r="50" spans="1:30" x14ac:dyDescent="0.25">
      <c r="A50" s="6"/>
      <c r="B50" s="6"/>
      <c r="C50" s="6"/>
      <c r="F50" s="6"/>
      <c r="G50" s="6"/>
      <c r="L50" s="7"/>
      <c r="M50" s="7"/>
      <c r="N50" s="7"/>
      <c r="O50" s="7"/>
      <c r="P50" s="7"/>
      <c r="Q50" s="7"/>
      <c r="R50" s="7"/>
      <c r="S50" s="8">
        <f>IF(E50="","",SUM(L50:O50) + Q50 + R50)</f>
      </c>
      <c r="T50" s="8">
        <f>IF(E50="","",S50*0.0275)</f>
      </c>
      <c r="U50" s="8">
        <f>IF(E50="","",IF(S50&gt;0, MIN(S50*0.06, 6480), 0))</f>
      </c>
      <c r="V50" s="7"/>
      <c r="W50" s="7"/>
      <c r="X50" s="7"/>
      <c r="Y50" s="8">
        <f>IF(E50="","",S50*0.015)</f>
      </c>
      <c r="Z50" s="8">
        <f>IF(E50="","",MAX(0, S50 - T50 - U50 - V50 - W50 - X50 - Y50 - IF(J50="Yes", 150000, 0)))</f>
      </c>
      <c r="AA50" s="8">
        <f>IF(E50="","",IF(OR(L50&gt;0, E50&lt;&gt;""), 2400, 0))</f>
      </c>
      <c r="AB50" s="7"/>
      <c r="AC50" s="8">
        <f>IF(E50="","",MAX(0, MAX(0, Z50*0.1) + MAX(0, (Z50-24000)*0.15) + MAX(0, (Z50-32333)*0.05) + MAX(0, (Z50-500000)*0.025) + MAX(0, (Z50-800000)*0.025) - AA50 - AB50))</f>
      </c>
      <c r="AD50" s="8">
        <f>IF(E50="","",AC50)</f>
      </c>
    </row>
    <row r="51" spans="1:30" x14ac:dyDescent="0.25">
      <c r="A51" s="6"/>
      <c r="B51" s="6"/>
      <c r="C51" s="6"/>
      <c r="F51" s="6"/>
      <c r="G51" s="6"/>
      <c r="L51" s="7"/>
      <c r="M51" s="7"/>
      <c r="N51" s="7"/>
      <c r="O51" s="7"/>
      <c r="P51" s="7"/>
      <c r="Q51" s="7"/>
      <c r="R51" s="7"/>
      <c r="S51" s="8">
        <f>IF(E51="","",SUM(L51:O51) + Q51 + R51)</f>
      </c>
      <c r="T51" s="8">
        <f>IF(E51="","",S51*0.0275)</f>
      </c>
      <c r="U51" s="8">
        <f>IF(E51="","",IF(S51&gt;0, MIN(S51*0.06, 6480), 0))</f>
      </c>
      <c r="V51" s="7"/>
      <c r="W51" s="7"/>
      <c r="X51" s="7"/>
      <c r="Y51" s="8">
        <f>IF(E51="","",S51*0.015)</f>
      </c>
      <c r="Z51" s="8">
        <f>IF(E51="","",MAX(0, S51 - T51 - U51 - V51 - W51 - X51 - Y51 - IF(J51="Yes", 150000, 0)))</f>
      </c>
      <c r="AA51" s="8">
        <f>IF(E51="","",IF(OR(L51&gt;0, E51&lt;&gt;""), 2400, 0))</f>
      </c>
      <c r="AB51" s="7"/>
      <c r="AC51" s="8">
        <f>IF(E51="","",MAX(0, MAX(0, Z51*0.1) + MAX(0, (Z51-24000)*0.15) + MAX(0, (Z51-32333)*0.05) + MAX(0, (Z51-500000)*0.025) + MAX(0, (Z51-800000)*0.025) - AA51 - AB51))</f>
      </c>
      <c r="AD51" s="8">
        <f>IF(E51="","",AC51)</f>
      </c>
    </row>
    <row r="52" spans="1:30" x14ac:dyDescent="0.25">
      <c r="A52" s="6"/>
      <c r="B52" s="6"/>
      <c r="C52" s="6"/>
      <c r="F52" s="6"/>
      <c r="G52" s="6"/>
      <c r="L52" s="7"/>
      <c r="M52" s="7"/>
      <c r="N52" s="7"/>
      <c r="O52" s="7"/>
      <c r="P52" s="7"/>
      <c r="Q52" s="7"/>
      <c r="R52" s="7"/>
      <c r="S52" s="8">
        <f>IF(E52="","",SUM(L52:O52) + Q52 + R52)</f>
      </c>
      <c r="T52" s="8">
        <f>IF(E52="","",S52*0.0275)</f>
      </c>
      <c r="U52" s="8">
        <f>IF(E52="","",IF(S52&gt;0, MIN(S52*0.06, 6480), 0))</f>
      </c>
      <c r="V52" s="7"/>
      <c r="W52" s="7"/>
      <c r="X52" s="7"/>
      <c r="Y52" s="8">
        <f>IF(E52="","",S52*0.015)</f>
      </c>
      <c r="Z52" s="8">
        <f>IF(E52="","",MAX(0, S52 - T52 - U52 - V52 - W52 - X52 - Y52 - IF(J52="Yes", 150000, 0)))</f>
      </c>
      <c r="AA52" s="8">
        <f>IF(E52="","",IF(OR(L52&gt;0, E52&lt;&gt;""), 2400, 0))</f>
      </c>
      <c r="AB52" s="7"/>
      <c r="AC52" s="8">
        <f>IF(E52="","",MAX(0, MAX(0, Z52*0.1) + MAX(0, (Z52-24000)*0.15) + MAX(0, (Z52-32333)*0.05) + MAX(0, (Z52-500000)*0.025) + MAX(0, (Z52-800000)*0.025) - AA52 - AB52))</f>
      </c>
      <c r="AD52" s="8">
        <f>IF(E52="","",AC52)</f>
      </c>
    </row>
    <row r="53" spans="1:30" x14ac:dyDescent="0.25">
      <c r="A53" s="6"/>
      <c r="B53" s="6"/>
      <c r="C53" s="6"/>
      <c r="F53" s="6"/>
      <c r="G53" s="6"/>
      <c r="L53" s="7"/>
      <c r="M53" s="7"/>
      <c r="N53" s="7"/>
      <c r="O53" s="7"/>
      <c r="P53" s="7"/>
      <c r="Q53" s="7"/>
      <c r="R53" s="7"/>
      <c r="S53" s="8">
        <f>IF(E53="","",SUM(L53:O53) + Q53 + R53)</f>
      </c>
      <c r="T53" s="8">
        <f>IF(E53="","",S53*0.0275)</f>
      </c>
      <c r="U53" s="8">
        <f>IF(E53="","",IF(S53&gt;0, MIN(S53*0.06, 6480), 0))</f>
      </c>
      <c r="V53" s="7"/>
      <c r="W53" s="7"/>
      <c r="X53" s="7"/>
      <c r="Y53" s="8">
        <f>IF(E53="","",S53*0.015)</f>
      </c>
      <c r="Z53" s="8">
        <f>IF(E53="","",MAX(0, S53 - T53 - U53 - V53 - W53 - X53 - Y53 - IF(J53="Yes", 150000, 0)))</f>
      </c>
      <c r="AA53" s="8">
        <f>IF(E53="","",IF(OR(L53&gt;0, E53&lt;&gt;""), 2400, 0))</f>
      </c>
      <c r="AB53" s="7"/>
      <c r="AC53" s="8">
        <f>IF(E53="","",MAX(0, MAX(0, Z53*0.1) + MAX(0, (Z53-24000)*0.15) + MAX(0, (Z53-32333)*0.05) + MAX(0, (Z53-500000)*0.025) + MAX(0, (Z53-800000)*0.025) - AA53 - AB53))</f>
      </c>
      <c r="AD53" s="8">
        <f>IF(E53="","",AC53)</f>
      </c>
    </row>
    <row r="54" spans="1:30" x14ac:dyDescent="0.25">
      <c r="A54" s="6"/>
      <c r="B54" s="6"/>
      <c r="C54" s="6"/>
      <c r="F54" s="6"/>
      <c r="G54" s="6"/>
      <c r="L54" s="7"/>
      <c r="M54" s="7"/>
      <c r="N54" s="7"/>
      <c r="O54" s="7"/>
      <c r="P54" s="7"/>
      <c r="Q54" s="7"/>
      <c r="R54" s="7"/>
      <c r="S54" s="8">
        <f>IF(E54="","",SUM(L54:O54) + Q54 + R54)</f>
      </c>
      <c r="T54" s="8">
        <f>IF(E54="","",S54*0.0275)</f>
      </c>
      <c r="U54" s="8">
        <f>IF(E54="","",IF(S54&gt;0, MIN(S54*0.06, 6480), 0))</f>
      </c>
      <c r="V54" s="7"/>
      <c r="W54" s="7"/>
      <c r="X54" s="7"/>
      <c r="Y54" s="8">
        <f>IF(E54="","",S54*0.015)</f>
      </c>
      <c r="Z54" s="8">
        <f>IF(E54="","",MAX(0, S54 - T54 - U54 - V54 - W54 - X54 - Y54 - IF(J54="Yes", 150000, 0)))</f>
      </c>
      <c r="AA54" s="8">
        <f>IF(E54="","",IF(OR(L54&gt;0, E54&lt;&gt;""), 2400, 0))</f>
      </c>
      <c r="AB54" s="7"/>
      <c r="AC54" s="8">
        <f>IF(E54="","",MAX(0, MAX(0, Z54*0.1) + MAX(0, (Z54-24000)*0.15) + MAX(0, (Z54-32333)*0.05) + MAX(0, (Z54-500000)*0.025) + MAX(0, (Z54-800000)*0.025) - AA54 - AB54))</f>
      </c>
      <c r="AD54" s="8">
        <f>IF(E54="","",AC54)</f>
      </c>
    </row>
    <row r="55" spans="1:30" x14ac:dyDescent="0.25">
      <c r="A55" s="6"/>
      <c r="B55" s="6"/>
      <c r="C55" s="6"/>
      <c r="F55" s="6"/>
      <c r="G55" s="6"/>
      <c r="L55" s="7"/>
      <c r="M55" s="7"/>
      <c r="N55" s="7"/>
      <c r="O55" s="7"/>
      <c r="P55" s="7"/>
      <c r="Q55" s="7"/>
      <c r="R55" s="7"/>
      <c r="S55" s="8">
        <f>IF(E55="","",SUM(L55:O55) + Q55 + R55)</f>
      </c>
      <c r="T55" s="8">
        <f>IF(E55="","",S55*0.0275)</f>
      </c>
      <c r="U55" s="8">
        <f>IF(E55="","",IF(S55&gt;0, MIN(S55*0.06, 6480), 0))</f>
      </c>
      <c r="V55" s="7"/>
      <c r="W55" s="7"/>
      <c r="X55" s="7"/>
      <c r="Y55" s="8">
        <f>IF(E55="","",S55*0.015)</f>
      </c>
      <c r="Z55" s="8">
        <f>IF(E55="","",MAX(0, S55 - T55 - U55 - V55 - W55 - X55 - Y55 - IF(J55="Yes", 150000, 0)))</f>
      </c>
      <c r="AA55" s="8">
        <f>IF(E55="","",IF(OR(L55&gt;0, E55&lt;&gt;""), 2400, 0))</f>
      </c>
      <c r="AB55" s="7"/>
      <c r="AC55" s="8">
        <f>IF(E55="","",MAX(0, MAX(0, Z55*0.1) + MAX(0, (Z55-24000)*0.15) + MAX(0, (Z55-32333)*0.05) + MAX(0, (Z55-500000)*0.025) + MAX(0, (Z55-800000)*0.025) - AA55 - AB55))</f>
      </c>
      <c r="AD55" s="8">
        <f>IF(E55="","",AC55)</f>
      </c>
    </row>
    <row r="56" spans="1:30" x14ac:dyDescent="0.25">
      <c r="A56" s="6"/>
      <c r="B56" s="6"/>
      <c r="C56" s="6"/>
      <c r="F56" s="6"/>
      <c r="G56" s="6"/>
      <c r="L56" s="7"/>
      <c r="M56" s="7"/>
      <c r="N56" s="7"/>
      <c r="O56" s="7"/>
      <c r="P56" s="7"/>
      <c r="Q56" s="7"/>
      <c r="R56" s="7"/>
      <c r="S56" s="8">
        <f>IF(E56="","",SUM(L56:O56) + Q56 + R56)</f>
      </c>
      <c r="T56" s="8">
        <f>IF(E56="","",S56*0.0275)</f>
      </c>
      <c r="U56" s="8">
        <f>IF(E56="","",IF(S56&gt;0, MIN(S56*0.06, 6480), 0))</f>
      </c>
      <c r="V56" s="7"/>
      <c r="W56" s="7"/>
      <c r="X56" s="7"/>
      <c r="Y56" s="8">
        <f>IF(E56="","",S56*0.015)</f>
      </c>
      <c r="Z56" s="8">
        <f>IF(E56="","",MAX(0, S56 - T56 - U56 - V56 - W56 - X56 - Y56 - IF(J56="Yes", 150000, 0)))</f>
      </c>
      <c r="AA56" s="8">
        <f>IF(E56="","",IF(OR(L56&gt;0, E56&lt;&gt;""), 2400, 0))</f>
      </c>
      <c r="AB56" s="7"/>
      <c r="AC56" s="8">
        <f>IF(E56="","",MAX(0, MAX(0, Z56*0.1) + MAX(0, (Z56-24000)*0.15) + MAX(0, (Z56-32333)*0.05) + MAX(0, (Z56-500000)*0.025) + MAX(0, (Z56-800000)*0.025) - AA56 - AB56))</f>
      </c>
      <c r="AD56" s="8">
        <f>IF(E56="","",AC56)</f>
      </c>
    </row>
    <row r="57" spans="1:30" x14ac:dyDescent="0.25">
      <c r="A57" s="6"/>
      <c r="B57" s="6"/>
      <c r="C57" s="6"/>
      <c r="F57" s="6"/>
      <c r="G57" s="6"/>
      <c r="L57" s="7"/>
      <c r="M57" s="7"/>
      <c r="N57" s="7"/>
      <c r="O57" s="7"/>
      <c r="P57" s="7"/>
      <c r="Q57" s="7"/>
      <c r="R57" s="7"/>
      <c r="S57" s="8">
        <f>IF(E57="","",SUM(L57:O57) + Q57 + R57)</f>
      </c>
      <c r="T57" s="8">
        <f>IF(E57="","",S57*0.0275)</f>
      </c>
      <c r="U57" s="8">
        <f>IF(E57="","",IF(S57&gt;0, MIN(S57*0.06, 6480), 0))</f>
      </c>
      <c r="V57" s="7"/>
      <c r="W57" s="7"/>
      <c r="X57" s="7"/>
      <c r="Y57" s="8">
        <f>IF(E57="","",S57*0.015)</f>
      </c>
      <c r="Z57" s="8">
        <f>IF(E57="","",MAX(0, S57 - T57 - U57 - V57 - W57 - X57 - Y57 - IF(J57="Yes", 150000, 0)))</f>
      </c>
      <c r="AA57" s="8">
        <f>IF(E57="","",IF(OR(L57&gt;0, E57&lt;&gt;""), 2400, 0))</f>
      </c>
      <c r="AB57" s="7"/>
      <c r="AC57" s="8">
        <f>IF(E57="","",MAX(0, MAX(0, Z57*0.1) + MAX(0, (Z57-24000)*0.15) + MAX(0, (Z57-32333)*0.05) + MAX(0, (Z57-500000)*0.025) + MAX(0, (Z57-800000)*0.025) - AA57 - AB57))</f>
      </c>
      <c r="AD57" s="8">
        <f>IF(E57="","",AC57)</f>
      </c>
    </row>
    <row r="58" spans="1:30" x14ac:dyDescent="0.25">
      <c r="A58" s="6"/>
      <c r="B58" s="6"/>
      <c r="C58" s="6"/>
      <c r="F58" s="6"/>
      <c r="G58" s="6"/>
      <c r="L58" s="7"/>
      <c r="M58" s="7"/>
      <c r="N58" s="7"/>
      <c r="O58" s="7"/>
      <c r="P58" s="7"/>
      <c r="Q58" s="7"/>
      <c r="R58" s="7"/>
      <c r="S58" s="8">
        <f>IF(E58="","",SUM(L58:O58) + Q58 + R58)</f>
      </c>
      <c r="T58" s="8">
        <f>IF(E58="","",S58*0.0275)</f>
      </c>
      <c r="U58" s="8">
        <f>IF(E58="","",IF(S58&gt;0, MIN(S58*0.06, 6480), 0))</f>
      </c>
      <c r="V58" s="7"/>
      <c r="W58" s="7"/>
      <c r="X58" s="7"/>
      <c r="Y58" s="8">
        <f>IF(E58="","",S58*0.015)</f>
      </c>
      <c r="Z58" s="8">
        <f>IF(E58="","",MAX(0, S58 - T58 - U58 - V58 - W58 - X58 - Y58 - IF(J58="Yes", 150000, 0)))</f>
      </c>
      <c r="AA58" s="8">
        <f>IF(E58="","",IF(OR(L58&gt;0, E58&lt;&gt;""), 2400, 0))</f>
      </c>
      <c r="AB58" s="7"/>
      <c r="AC58" s="8">
        <f>IF(E58="","",MAX(0, MAX(0, Z58*0.1) + MAX(0, (Z58-24000)*0.15) + MAX(0, (Z58-32333)*0.05) + MAX(0, (Z58-500000)*0.025) + MAX(0, (Z58-800000)*0.025) - AA58 - AB58))</f>
      </c>
      <c r="AD58" s="8">
        <f>IF(E58="","",AC58)</f>
      </c>
    </row>
    <row r="59" spans="1:30" x14ac:dyDescent="0.25">
      <c r="A59" s="6"/>
      <c r="B59" s="6"/>
      <c r="C59" s="6"/>
      <c r="F59" s="6"/>
      <c r="G59" s="6"/>
      <c r="L59" s="7"/>
      <c r="M59" s="7"/>
      <c r="N59" s="7"/>
      <c r="O59" s="7"/>
      <c r="P59" s="7"/>
      <c r="Q59" s="7"/>
      <c r="R59" s="7"/>
      <c r="S59" s="8">
        <f>IF(E59="","",SUM(L59:O59) + Q59 + R59)</f>
      </c>
      <c r="T59" s="8">
        <f>IF(E59="","",S59*0.0275)</f>
      </c>
      <c r="U59" s="8">
        <f>IF(E59="","",IF(S59&gt;0, MIN(S59*0.06, 6480), 0))</f>
      </c>
      <c r="V59" s="7"/>
      <c r="W59" s="7"/>
      <c r="X59" s="7"/>
      <c r="Y59" s="8">
        <f>IF(E59="","",S59*0.015)</f>
      </c>
      <c r="Z59" s="8">
        <f>IF(E59="","",MAX(0, S59 - T59 - U59 - V59 - W59 - X59 - Y59 - IF(J59="Yes", 150000, 0)))</f>
      </c>
      <c r="AA59" s="8">
        <f>IF(E59="","",IF(OR(L59&gt;0, E59&lt;&gt;""), 2400, 0))</f>
      </c>
      <c r="AB59" s="7"/>
      <c r="AC59" s="8">
        <f>IF(E59="","",MAX(0, MAX(0, Z59*0.1) + MAX(0, (Z59-24000)*0.15) + MAX(0, (Z59-32333)*0.05) + MAX(0, (Z59-500000)*0.025) + MAX(0, (Z59-800000)*0.025) - AA59 - AB59))</f>
      </c>
      <c r="AD59" s="8">
        <f>IF(E59="","",AC59)</f>
      </c>
    </row>
    <row r="60" spans="1:30" x14ac:dyDescent="0.25">
      <c r="A60" s="6"/>
      <c r="B60" s="6"/>
      <c r="C60" s="6"/>
      <c r="F60" s="6"/>
      <c r="G60" s="6"/>
      <c r="L60" s="7"/>
      <c r="M60" s="7"/>
      <c r="N60" s="7"/>
      <c r="O60" s="7"/>
      <c r="P60" s="7"/>
      <c r="Q60" s="7"/>
      <c r="R60" s="7"/>
      <c r="S60" s="8">
        <f>IF(E60="","",SUM(L60:O60) + Q60 + R60)</f>
      </c>
      <c r="T60" s="8">
        <f>IF(E60="","",S60*0.0275)</f>
      </c>
      <c r="U60" s="8">
        <f>IF(E60="","",IF(S60&gt;0, MIN(S60*0.06, 6480), 0))</f>
      </c>
      <c r="V60" s="7"/>
      <c r="W60" s="7"/>
      <c r="X60" s="7"/>
      <c r="Y60" s="8">
        <f>IF(E60="","",S60*0.015)</f>
      </c>
      <c r="Z60" s="8">
        <f>IF(E60="","",MAX(0, S60 - T60 - U60 - V60 - W60 - X60 - Y60 - IF(J60="Yes", 150000, 0)))</f>
      </c>
      <c r="AA60" s="8">
        <f>IF(E60="","",IF(OR(L60&gt;0, E60&lt;&gt;""), 2400, 0))</f>
      </c>
      <c r="AB60" s="7"/>
      <c r="AC60" s="8">
        <f>IF(E60="","",MAX(0, MAX(0, Z60*0.1) + MAX(0, (Z60-24000)*0.15) + MAX(0, (Z60-32333)*0.05) + MAX(0, (Z60-500000)*0.025) + MAX(0, (Z60-800000)*0.025) - AA60 - AB60))</f>
      </c>
      <c r="AD60" s="8">
        <f>IF(E60="","",AC60)</f>
      </c>
    </row>
    <row r="61" spans="1:30" x14ac:dyDescent="0.25">
      <c r="A61" s="6"/>
      <c r="B61" s="6"/>
      <c r="C61" s="6"/>
      <c r="F61" s="6"/>
      <c r="G61" s="6"/>
      <c r="L61" s="7"/>
      <c r="M61" s="7"/>
      <c r="N61" s="7"/>
      <c r="O61" s="7"/>
      <c r="P61" s="7"/>
      <c r="Q61" s="7"/>
      <c r="R61" s="7"/>
      <c r="S61" s="8">
        <f>IF(E61="","",SUM(L61:O61) + Q61 + R61)</f>
      </c>
      <c r="T61" s="8">
        <f>IF(E61="","",S61*0.0275)</f>
      </c>
      <c r="U61" s="8">
        <f>IF(E61="","",IF(S61&gt;0, MIN(S61*0.06, 6480), 0))</f>
      </c>
      <c r="V61" s="7"/>
      <c r="W61" s="7"/>
      <c r="X61" s="7"/>
      <c r="Y61" s="8">
        <f>IF(E61="","",S61*0.015)</f>
      </c>
      <c r="Z61" s="8">
        <f>IF(E61="","",MAX(0, S61 - T61 - U61 - V61 - W61 - X61 - Y61 - IF(J61="Yes", 150000, 0)))</f>
      </c>
      <c r="AA61" s="8">
        <f>IF(E61="","",IF(OR(L61&gt;0, E61&lt;&gt;""), 2400, 0))</f>
      </c>
      <c r="AB61" s="7"/>
      <c r="AC61" s="8">
        <f>IF(E61="","",MAX(0, MAX(0, Z61*0.1) + MAX(0, (Z61-24000)*0.15) + MAX(0, (Z61-32333)*0.05) + MAX(0, (Z61-500000)*0.025) + MAX(0, (Z61-800000)*0.025) - AA61 - AB61))</f>
      </c>
      <c r="AD61" s="8">
        <f>IF(E61="","",AC61)</f>
      </c>
    </row>
    <row r="62" spans="1:30" x14ac:dyDescent="0.25">
      <c r="A62" s="6"/>
      <c r="B62" s="6"/>
      <c r="C62" s="6"/>
      <c r="F62" s="6"/>
      <c r="G62" s="6"/>
      <c r="L62" s="7"/>
      <c r="M62" s="7"/>
      <c r="N62" s="7"/>
      <c r="O62" s="7"/>
      <c r="P62" s="7"/>
      <c r="Q62" s="7"/>
      <c r="R62" s="7"/>
      <c r="S62" s="8">
        <f>IF(E62="","",SUM(L62:O62) + Q62 + R62)</f>
      </c>
      <c r="T62" s="8">
        <f>IF(E62="","",S62*0.0275)</f>
      </c>
      <c r="U62" s="8">
        <f>IF(E62="","",IF(S62&gt;0, MIN(S62*0.06, 6480), 0))</f>
      </c>
      <c r="V62" s="7"/>
      <c r="W62" s="7"/>
      <c r="X62" s="7"/>
      <c r="Y62" s="8">
        <f>IF(E62="","",S62*0.015)</f>
      </c>
      <c r="Z62" s="8">
        <f>IF(E62="","",MAX(0, S62 - T62 - U62 - V62 - W62 - X62 - Y62 - IF(J62="Yes", 150000, 0)))</f>
      </c>
      <c r="AA62" s="8">
        <f>IF(E62="","",IF(OR(L62&gt;0, E62&lt;&gt;""), 2400, 0))</f>
      </c>
      <c r="AB62" s="7"/>
      <c r="AC62" s="8">
        <f>IF(E62="","",MAX(0, MAX(0, Z62*0.1) + MAX(0, (Z62-24000)*0.15) + MAX(0, (Z62-32333)*0.05) + MAX(0, (Z62-500000)*0.025) + MAX(0, (Z62-800000)*0.025) - AA62 - AB62))</f>
      </c>
      <c r="AD62" s="8">
        <f>IF(E62="","",AC62)</f>
      </c>
    </row>
    <row r="63" spans="1:30" x14ac:dyDescent="0.25">
      <c r="A63" s="6"/>
      <c r="B63" s="6"/>
      <c r="C63" s="6"/>
      <c r="F63" s="6"/>
      <c r="G63" s="6"/>
      <c r="L63" s="7"/>
      <c r="M63" s="7"/>
      <c r="N63" s="7"/>
      <c r="O63" s="7"/>
      <c r="P63" s="7"/>
      <c r="Q63" s="7"/>
      <c r="R63" s="7"/>
      <c r="S63" s="8">
        <f>IF(E63="","",SUM(L63:O63) + Q63 + R63)</f>
      </c>
      <c r="T63" s="8">
        <f>IF(E63="","",S63*0.0275)</f>
      </c>
      <c r="U63" s="8">
        <f>IF(E63="","",IF(S63&gt;0, MIN(S63*0.06, 6480), 0))</f>
      </c>
      <c r="V63" s="7"/>
      <c r="W63" s="7"/>
      <c r="X63" s="7"/>
      <c r="Y63" s="8">
        <f>IF(E63="","",S63*0.015)</f>
      </c>
      <c r="Z63" s="8">
        <f>IF(E63="","",MAX(0, S63 - T63 - U63 - V63 - W63 - X63 - Y63 - IF(J63="Yes", 150000, 0)))</f>
      </c>
      <c r="AA63" s="8">
        <f>IF(E63="","",IF(OR(L63&gt;0, E63&lt;&gt;""), 2400, 0))</f>
      </c>
      <c r="AB63" s="7"/>
      <c r="AC63" s="8">
        <f>IF(E63="","",MAX(0, MAX(0, Z63*0.1) + MAX(0, (Z63-24000)*0.15) + MAX(0, (Z63-32333)*0.05) + MAX(0, (Z63-500000)*0.025) + MAX(0, (Z63-800000)*0.025) - AA63 - AB63))</f>
      </c>
      <c r="AD63" s="8">
        <f>IF(E63="","",AC63)</f>
      </c>
    </row>
    <row r="64" spans="1:30" x14ac:dyDescent="0.25">
      <c r="A64" s="6"/>
      <c r="B64" s="6"/>
      <c r="C64" s="6"/>
      <c r="F64" s="6"/>
      <c r="G64" s="6"/>
      <c r="L64" s="7"/>
      <c r="M64" s="7"/>
      <c r="N64" s="7"/>
      <c r="O64" s="7"/>
      <c r="P64" s="7"/>
      <c r="Q64" s="7"/>
      <c r="R64" s="7"/>
      <c r="S64" s="8">
        <f>IF(E64="","",SUM(L64:O64) + Q64 + R64)</f>
      </c>
      <c r="T64" s="8">
        <f>IF(E64="","",S64*0.0275)</f>
      </c>
      <c r="U64" s="8">
        <f>IF(E64="","",IF(S64&gt;0, MIN(S64*0.06, 6480), 0))</f>
      </c>
      <c r="V64" s="7"/>
      <c r="W64" s="7"/>
      <c r="X64" s="7"/>
      <c r="Y64" s="8">
        <f>IF(E64="","",S64*0.015)</f>
      </c>
      <c r="Z64" s="8">
        <f>IF(E64="","",MAX(0, S64 - T64 - U64 - V64 - W64 - X64 - Y64 - IF(J64="Yes", 150000, 0)))</f>
      </c>
      <c r="AA64" s="8">
        <f>IF(E64="","",IF(OR(L64&gt;0, E64&lt;&gt;""), 2400, 0))</f>
      </c>
      <c r="AB64" s="7"/>
      <c r="AC64" s="8">
        <f>IF(E64="","",MAX(0, MAX(0, Z64*0.1) + MAX(0, (Z64-24000)*0.15) + MAX(0, (Z64-32333)*0.05) + MAX(0, (Z64-500000)*0.025) + MAX(0, (Z64-800000)*0.025) - AA64 - AB64))</f>
      </c>
      <c r="AD64" s="8">
        <f>IF(E64="","",AC64)</f>
      </c>
    </row>
    <row r="65" spans="1:30" x14ac:dyDescent="0.25">
      <c r="A65" s="6"/>
      <c r="B65" s="6"/>
      <c r="C65" s="6"/>
      <c r="F65" s="6"/>
      <c r="G65" s="6"/>
      <c r="L65" s="7"/>
      <c r="M65" s="7"/>
      <c r="N65" s="7"/>
      <c r="O65" s="7"/>
      <c r="P65" s="7"/>
      <c r="Q65" s="7"/>
      <c r="R65" s="7"/>
      <c r="S65" s="8">
        <f>IF(E65="","",SUM(L65:O65) + Q65 + R65)</f>
      </c>
      <c r="T65" s="8">
        <f>IF(E65="","",S65*0.0275)</f>
      </c>
      <c r="U65" s="8">
        <f>IF(E65="","",IF(S65&gt;0, MIN(S65*0.06, 6480), 0))</f>
      </c>
      <c r="V65" s="7"/>
      <c r="W65" s="7"/>
      <c r="X65" s="7"/>
      <c r="Y65" s="8">
        <f>IF(E65="","",S65*0.015)</f>
      </c>
      <c r="Z65" s="8">
        <f>IF(E65="","",MAX(0, S65 - T65 - U65 - V65 - W65 - X65 - Y65 - IF(J65="Yes", 150000, 0)))</f>
      </c>
      <c r="AA65" s="8">
        <f>IF(E65="","",IF(OR(L65&gt;0, E65&lt;&gt;""), 2400, 0))</f>
      </c>
      <c r="AB65" s="7"/>
      <c r="AC65" s="8">
        <f>IF(E65="","",MAX(0, MAX(0, Z65*0.1) + MAX(0, (Z65-24000)*0.15) + MAX(0, (Z65-32333)*0.05) + MAX(0, (Z65-500000)*0.025) + MAX(0, (Z65-800000)*0.025) - AA65 - AB65))</f>
      </c>
      <c r="AD65" s="8">
        <f>IF(E65="","",AC65)</f>
      </c>
    </row>
    <row r="66" spans="1:30" x14ac:dyDescent="0.25">
      <c r="A66" s="6"/>
      <c r="B66" s="6"/>
      <c r="C66" s="6"/>
      <c r="F66" s="6"/>
      <c r="G66" s="6"/>
      <c r="L66" s="7"/>
      <c r="M66" s="7"/>
      <c r="N66" s="7"/>
      <c r="O66" s="7"/>
      <c r="P66" s="7"/>
      <c r="Q66" s="7"/>
      <c r="R66" s="7"/>
      <c r="S66" s="8">
        <f>IF(E66="","",SUM(L66:O66) + Q66 + R66)</f>
      </c>
      <c r="T66" s="8">
        <f>IF(E66="","",S66*0.0275)</f>
      </c>
      <c r="U66" s="8">
        <f>IF(E66="","",IF(S66&gt;0, MIN(S66*0.06, 6480), 0))</f>
      </c>
      <c r="V66" s="7"/>
      <c r="W66" s="7"/>
      <c r="X66" s="7"/>
      <c r="Y66" s="8">
        <f>IF(E66="","",S66*0.015)</f>
      </c>
      <c r="Z66" s="8">
        <f>IF(E66="","",MAX(0, S66 - T66 - U66 - V66 - W66 - X66 - Y66 - IF(J66="Yes", 150000, 0)))</f>
      </c>
      <c r="AA66" s="8">
        <f>IF(E66="","",IF(OR(L66&gt;0, E66&lt;&gt;""), 2400, 0))</f>
      </c>
      <c r="AB66" s="7"/>
      <c r="AC66" s="8">
        <f>IF(E66="","",MAX(0, MAX(0, Z66*0.1) + MAX(0, (Z66-24000)*0.15) + MAX(0, (Z66-32333)*0.05) + MAX(0, (Z66-500000)*0.025) + MAX(0, (Z66-800000)*0.025) - AA66 - AB66))</f>
      </c>
      <c r="AD66" s="8">
        <f>IF(E66="","",AC66)</f>
      </c>
    </row>
    <row r="67" spans="1:30" x14ac:dyDescent="0.25">
      <c r="A67" s="6"/>
      <c r="B67" s="6"/>
      <c r="C67" s="6"/>
      <c r="F67" s="6"/>
      <c r="G67" s="6"/>
      <c r="L67" s="7"/>
      <c r="M67" s="7"/>
      <c r="N67" s="7"/>
      <c r="O67" s="7"/>
      <c r="P67" s="7"/>
      <c r="Q67" s="7"/>
      <c r="R67" s="7"/>
      <c r="S67" s="8">
        <f>IF(E67="","",SUM(L67:O67) + Q67 + R67)</f>
      </c>
      <c r="T67" s="8">
        <f>IF(E67="","",S67*0.0275)</f>
      </c>
      <c r="U67" s="8">
        <f>IF(E67="","",IF(S67&gt;0, MIN(S67*0.06, 6480), 0))</f>
      </c>
      <c r="V67" s="7"/>
      <c r="W67" s="7"/>
      <c r="X67" s="7"/>
      <c r="Y67" s="8">
        <f>IF(E67="","",S67*0.015)</f>
      </c>
      <c r="Z67" s="8">
        <f>IF(E67="","",MAX(0, S67 - T67 - U67 - V67 - W67 - X67 - Y67 - IF(J67="Yes", 150000, 0)))</f>
      </c>
      <c r="AA67" s="8">
        <f>IF(E67="","",IF(OR(L67&gt;0, E67&lt;&gt;""), 2400, 0))</f>
      </c>
      <c r="AB67" s="7"/>
      <c r="AC67" s="8">
        <f>IF(E67="","",MAX(0, MAX(0, Z67*0.1) + MAX(0, (Z67-24000)*0.15) + MAX(0, (Z67-32333)*0.05) + MAX(0, (Z67-500000)*0.025) + MAX(0, (Z67-800000)*0.025) - AA67 - AB67))</f>
      </c>
      <c r="AD67" s="8">
        <f>IF(E67="","",AC67)</f>
      </c>
    </row>
    <row r="68" spans="1:30" x14ac:dyDescent="0.25">
      <c r="A68" s="6"/>
      <c r="B68" s="6"/>
      <c r="C68" s="6"/>
      <c r="F68" s="6"/>
      <c r="G68" s="6"/>
      <c r="L68" s="7"/>
      <c r="M68" s="7"/>
      <c r="N68" s="7"/>
      <c r="O68" s="7"/>
      <c r="P68" s="7"/>
      <c r="Q68" s="7"/>
      <c r="R68" s="7"/>
      <c r="S68" s="8">
        <f>IF(E68="","",SUM(L68:O68) + Q68 + R68)</f>
      </c>
      <c r="T68" s="8">
        <f>IF(E68="","",S68*0.0275)</f>
      </c>
      <c r="U68" s="8">
        <f>IF(E68="","",IF(S68&gt;0, MIN(S68*0.06, 6480), 0))</f>
      </c>
      <c r="V68" s="7"/>
      <c r="W68" s="7"/>
      <c r="X68" s="7"/>
      <c r="Y68" s="8">
        <f>IF(E68="","",S68*0.015)</f>
      </c>
      <c r="Z68" s="8">
        <f>IF(E68="","",MAX(0, S68 - T68 - U68 - V68 - W68 - X68 - Y68 - IF(J68="Yes", 150000, 0)))</f>
      </c>
      <c r="AA68" s="8">
        <f>IF(E68="","",IF(OR(L68&gt;0, E68&lt;&gt;""), 2400, 0))</f>
      </c>
      <c r="AB68" s="7"/>
      <c r="AC68" s="8">
        <f>IF(E68="","",MAX(0, MAX(0, Z68*0.1) + MAX(0, (Z68-24000)*0.15) + MAX(0, (Z68-32333)*0.05) + MAX(0, (Z68-500000)*0.025) + MAX(0, (Z68-800000)*0.025) - AA68 - AB68))</f>
      </c>
      <c r="AD68" s="8">
        <f>IF(E68="","",AC68)</f>
      </c>
    </row>
    <row r="69" spans="1:30" x14ac:dyDescent="0.25">
      <c r="A69" s="6"/>
      <c r="B69" s="6"/>
      <c r="C69" s="6"/>
      <c r="F69" s="6"/>
      <c r="G69" s="6"/>
      <c r="L69" s="7"/>
      <c r="M69" s="7"/>
      <c r="N69" s="7"/>
      <c r="O69" s="7"/>
      <c r="P69" s="7"/>
      <c r="Q69" s="7"/>
      <c r="R69" s="7"/>
      <c r="S69" s="8">
        <f>IF(E69="","",SUM(L69:O69) + Q69 + R69)</f>
      </c>
      <c r="T69" s="8">
        <f>IF(E69="","",S69*0.0275)</f>
      </c>
      <c r="U69" s="8">
        <f>IF(E69="","",IF(S69&gt;0, MIN(S69*0.06, 6480), 0))</f>
      </c>
      <c r="V69" s="7"/>
      <c r="W69" s="7"/>
      <c r="X69" s="7"/>
      <c r="Y69" s="8">
        <f>IF(E69="","",S69*0.015)</f>
      </c>
      <c r="Z69" s="8">
        <f>IF(E69="","",MAX(0, S69 - T69 - U69 - V69 - W69 - X69 - Y69 - IF(J69="Yes", 150000, 0)))</f>
      </c>
      <c r="AA69" s="8">
        <f>IF(E69="","",IF(OR(L69&gt;0, E69&lt;&gt;""), 2400, 0))</f>
      </c>
      <c r="AB69" s="7"/>
      <c r="AC69" s="8">
        <f>IF(E69="","",MAX(0, MAX(0, Z69*0.1) + MAX(0, (Z69-24000)*0.15) + MAX(0, (Z69-32333)*0.05) + MAX(0, (Z69-500000)*0.025) + MAX(0, (Z69-800000)*0.025) - AA69 - AB69))</f>
      </c>
      <c r="AD69" s="8">
        <f>IF(E69="","",AC69)</f>
      </c>
    </row>
    <row r="70" spans="1:30" x14ac:dyDescent="0.25">
      <c r="A70" s="6"/>
      <c r="B70" s="6"/>
      <c r="C70" s="6"/>
      <c r="F70" s="6"/>
      <c r="G70" s="6"/>
      <c r="L70" s="7"/>
      <c r="M70" s="7"/>
      <c r="N70" s="7"/>
      <c r="O70" s="7"/>
      <c r="P70" s="7"/>
      <c r="Q70" s="7"/>
      <c r="R70" s="7"/>
      <c r="S70" s="8">
        <f>IF(E70="","",SUM(L70:O70) + Q70 + R70)</f>
      </c>
      <c r="T70" s="8">
        <f>IF(E70="","",S70*0.0275)</f>
      </c>
      <c r="U70" s="8">
        <f>IF(E70="","",IF(S70&gt;0, MIN(S70*0.06, 6480), 0))</f>
      </c>
      <c r="V70" s="7"/>
      <c r="W70" s="7"/>
      <c r="X70" s="7"/>
      <c r="Y70" s="8">
        <f>IF(E70="","",S70*0.015)</f>
      </c>
      <c r="Z70" s="8">
        <f>IF(E70="","",MAX(0, S70 - T70 - U70 - V70 - W70 - X70 - Y70 - IF(J70="Yes", 150000, 0)))</f>
      </c>
      <c r="AA70" s="8">
        <f>IF(E70="","",IF(OR(L70&gt;0, E70&lt;&gt;""), 2400, 0))</f>
      </c>
      <c r="AB70" s="7"/>
      <c r="AC70" s="8">
        <f>IF(E70="","",MAX(0, MAX(0, Z70*0.1) + MAX(0, (Z70-24000)*0.15) + MAX(0, (Z70-32333)*0.05) + MAX(0, (Z70-500000)*0.025) + MAX(0, (Z70-800000)*0.025) - AA70 - AB70))</f>
      </c>
      <c r="AD70" s="8">
        <f>IF(E70="","",AC70)</f>
      </c>
    </row>
    <row r="71" spans="1:30" x14ac:dyDescent="0.25">
      <c r="A71" s="6"/>
      <c r="B71" s="6"/>
      <c r="C71" s="6"/>
      <c r="F71" s="6"/>
      <c r="G71" s="6"/>
      <c r="L71" s="7"/>
      <c r="M71" s="7"/>
      <c r="N71" s="7"/>
      <c r="O71" s="7"/>
      <c r="P71" s="7"/>
      <c r="Q71" s="7"/>
      <c r="R71" s="7"/>
      <c r="S71" s="8">
        <f>IF(E71="","",SUM(L71:O71) + Q71 + R71)</f>
      </c>
      <c r="T71" s="8">
        <f>IF(E71="","",S71*0.0275)</f>
      </c>
      <c r="U71" s="8">
        <f>IF(E71="","",IF(S71&gt;0, MIN(S71*0.06, 6480), 0))</f>
      </c>
      <c r="V71" s="7"/>
      <c r="W71" s="7"/>
      <c r="X71" s="7"/>
      <c r="Y71" s="8">
        <f>IF(E71="","",S71*0.015)</f>
      </c>
      <c r="Z71" s="8">
        <f>IF(E71="","",MAX(0, S71 - T71 - U71 - V71 - W71 - X71 - Y71 - IF(J71="Yes", 150000, 0)))</f>
      </c>
      <c r="AA71" s="8">
        <f>IF(E71="","",IF(OR(L71&gt;0, E71&lt;&gt;""), 2400, 0))</f>
      </c>
      <c r="AB71" s="7"/>
      <c r="AC71" s="8">
        <f>IF(E71="","",MAX(0, MAX(0, Z71*0.1) + MAX(0, (Z71-24000)*0.15) + MAX(0, (Z71-32333)*0.05) + MAX(0, (Z71-500000)*0.025) + MAX(0, (Z71-800000)*0.025) - AA71 - AB71))</f>
      </c>
      <c r="AD71" s="8">
        <f>IF(E71="","",AC71)</f>
      </c>
    </row>
    <row r="72" spans="1:30" x14ac:dyDescent="0.25">
      <c r="A72" s="6"/>
      <c r="B72" s="6"/>
      <c r="C72" s="6"/>
      <c r="F72" s="6"/>
      <c r="G72" s="6"/>
      <c r="L72" s="7"/>
      <c r="M72" s="7"/>
      <c r="N72" s="7"/>
      <c r="O72" s="7"/>
      <c r="P72" s="7"/>
      <c r="Q72" s="7"/>
      <c r="R72" s="7"/>
      <c r="S72" s="8">
        <f>IF(E72="","",SUM(L72:O72) + Q72 + R72)</f>
      </c>
      <c r="T72" s="8">
        <f>IF(E72="","",S72*0.0275)</f>
      </c>
      <c r="U72" s="8">
        <f>IF(E72="","",IF(S72&gt;0, MIN(S72*0.06, 6480), 0))</f>
      </c>
      <c r="V72" s="7"/>
      <c r="W72" s="7"/>
      <c r="X72" s="7"/>
      <c r="Y72" s="8">
        <f>IF(E72="","",S72*0.015)</f>
      </c>
      <c r="Z72" s="8">
        <f>IF(E72="","",MAX(0, S72 - T72 - U72 - V72 - W72 - X72 - Y72 - IF(J72="Yes", 150000, 0)))</f>
      </c>
      <c r="AA72" s="8">
        <f>IF(E72="","",IF(OR(L72&gt;0, E72&lt;&gt;""), 2400, 0))</f>
      </c>
      <c r="AB72" s="7"/>
      <c r="AC72" s="8">
        <f>IF(E72="","",MAX(0, MAX(0, Z72*0.1) + MAX(0, (Z72-24000)*0.15) + MAX(0, (Z72-32333)*0.05) + MAX(0, (Z72-500000)*0.025) + MAX(0, (Z72-800000)*0.025) - AA72 - AB72))</f>
      </c>
      <c r="AD72" s="8">
        <f>IF(E72="","",AC72)</f>
      </c>
    </row>
    <row r="73" spans="1:30" x14ac:dyDescent="0.25">
      <c r="A73" s="6"/>
      <c r="B73" s="6"/>
      <c r="C73" s="6"/>
      <c r="F73" s="6"/>
      <c r="G73" s="6"/>
      <c r="L73" s="7"/>
      <c r="M73" s="7"/>
      <c r="N73" s="7"/>
      <c r="O73" s="7"/>
      <c r="P73" s="7"/>
      <c r="Q73" s="7"/>
      <c r="R73" s="7"/>
      <c r="S73" s="8">
        <f>IF(E73="","",SUM(L73:O73) + Q73 + R73)</f>
      </c>
      <c r="T73" s="8">
        <f>IF(E73="","",S73*0.0275)</f>
      </c>
      <c r="U73" s="8">
        <f>IF(E73="","",IF(S73&gt;0, MIN(S73*0.06, 6480), 0))</f>
      </c>
      <c r="V73" s="7"/>
      <c r="W73" s="7"/>
      <c r="X73" s="7"/>
      <c r="Y73" s="8">
        <f>IF(E73="","",S73*0.015)</f>
      </c>
      <c r="Z73" s="8">
        <f>IF(E73="","",MAX(0, S73 - T73 - U73 - V73 - W73 - X73 - Y73 - IF(J73="Yes", 150000, 0)))</f>
      </c>
      <c r="AA73" s="8">
        <f>IF(E73="","",IF(OR(L73&gt;0, E73&lt;&gt;""), 2400, 0))</f>
      </c>
      <c r="AB73" s="7"/>
      <c r="AC73" s="8">
        <f>IF(E73="","",MAX(0, MAX(0, Z73*0.1) + MAX(0, (Z73-24000)*0.15) + MAX(0, (Z73-32333)*0.05) + MAX(0, (Z73-500000)*0.025) + MAX(0, (Z73-800000)*0.025) - AA73 - AB73))</f>
      </c>
      <c r="AD73" s="8">
        <f>IF(E73="","",AC73)</f>
      </c>
    </row>
    <row r="74" spans="1:30" x14ac:dyDescent="0.25">
      <c r="A74" s="6"/>
      <c r="B74" s="6"/>
      <c r="C74" s="6"/>
      <c r="F74" s="6"/>
      <c r="G74" s="6"/>
      <c r="L74" s="7"/>
      <c r="M74" s="7"/>
      <c r="N74" s="7"/>
      <c r="O74" s="7"/>
      <c r="P74" s="7"/>
      <c r="Q74" s="7"/>
      <c r="R74" s="7"/>
      <c r="S74" s="8">
        <f>IF(E74="","",SUM(L74:O74) + Q74 + R74)</f>
      </c>
      <c r="T74" s="8">
        <f>IF(E74="","",S74*0.0275)</f>
      </c>
      <c r="U74" s="8">
        <f>IF(E74="","",IF(S74&gt;0, MIN(S74*0.06, 6480), 0))</f>
      </c>
      <c r="V74" s="7"/>
      <c r="W74" s="7"/>
      <c r="X74" s="7"/>
      <c r="Y74" s="8">
        <f>IF(E74="","",S74*0.015)</f>
      </c>
      <c r="Z74" s="8">
        <f>IF(E74="","",MAX(0, S74 - T74 - U74 - V74 - W74 - X74 - Y74 - IF(J74="Yes", 150000, 0)))</f>
      </c>
      <c r="AA74" s="8">
        <f>IF(E74="","",IF(OR(L74&gt;0, E74&lt;&gt;""), 2400, 0))</f>
      </c>
      <c r="AB74" s="7"/>
      <c r="AC74" s="8">
        <f>IF(E74="","",MAX(0, MAX(0, Z74*0.1) + MAX(0, (Z74-24000)*0.15) + MAX(0, (Z74-32333)*0.05) + MAX(0, (Z74-500000)*0.025) + MAX(0, (Z74-800000)*0.025) - AA74 - AB74))</f>
      </c>
      <c r="AD74" s="8">
        <f>IF(E74="","",AC74)</f>
      </c>
    </row>
    <row r="75" spans="1:30" x14ac:dyDescent="0.25">
      <c r="A75" s="6"/>
      <c r="B75" s="6"/>
      <c r="C75" s="6"/>
      <c r="F75" s="6"/>
      <c r="G75" s="6"/>
      <c r="L75" s="7"/>
      <c r="M75" s="7"/>
      <c r="N75" s="7"/>
      <c r="O75" s="7"/>
      <c r="P75" s="7"/>
      <c r="Q75" s="7"/>
      <c r="R75" s="7"/>
      <c r="S75" s="8">
        <f>IF(E75="","",SUM(L75:O75) + Q75 + R75)</f>
      </c>
      <c r="T75" s="8">
        <f>IF(E75="","",S75*0.0275)</f>
      </c>
      <c r="U75" s="8">
        <f>IF(E75="","",IF(S75&gt;0, MIN(S75*0.06, 6480), 0))</f>
      </c>
      <c r="V75" s="7"/>
      <c r="W75" s="7"/>
      <c r="X75" s="7"/>
      <c r="Y75" s="8">
        <f>IF(E75="","",S75*0.015)</f>
      </c>
      <c r="Z75" s="8">
        <f>IF(E75="","",MAX(0, S75 - T75 - U75 - V75 - W75 - X75 - Y75 - IF(J75="Yes", 150000, 0)))</f>
      </c>
      <c r="AA75" s="8">
        <f>IF(E75="","",IF(OR(L75&gt;0, E75&lt;&gt;""), 2400, 0))</f>
      </c>
      <c r="AB75" s="7"/>
      <c r="AC75" s="8">
        <f>IF(E75="","",MAX(0, MAX(0, Z75*0.1) + MAX(0, (Z75-24000)*0.15) + MAX(0, (Z75-32333)*0.05) + MAX(0, (Z75-500000)*0.025) + MAX(0, (Z75-800000)*0.025) - AA75 - AB75))</f>
      </c>
      <c r="AD75" s="8">
        <f>IF(E75="","",AC75)</f>
      </c>
    </row>
    <row r="76" spans="1:30" x14ac:dyDescent="0.25">
      <c r="A76" s="6"/>
      <c r="B76" s="6"/>
      <c r="C76" s="6"/>
      <c r="F76" s="6"/>
      <c r="G76" s="6"/>
      <c r="L76" s="7"/>
      <c r="M76" s="7"/>
      <c r="N76" s="7"/>
      <c r="O76" s="7"/>
      <c r="P76" s="7"/>
      <c r="Q76" s="7"/>
      <c r="R76" s="7"/>
      <c r="S76" s="8">
        <f>IF(E76="","",SUM(L76:O76) + Q76 + R76)</f>
      </c>
      <c r="T76" s="8">
        <f>IF(E76="","",S76*0.0275)</f>
      </c>
      <c r="U76" s="8">
        <f>IF(E76="","",IF(S76&gt;0, MIN(S76*0.06, 6480), 0))</f>
      </c>
      <c r="V76" s="7"/>
      <c r="W76" s="7"/>
      <c r="X76" s="7"/>
      <c r="Y76" s="8">
        <f>IF(E76="","",S76*0.015)</f>
      </c>
      <c r="Z76" s="8">
        <f>IF(E76="","",MAX(0, S76 - T76 - U76 - V76 - W76 - X76 - Y76 - IF(J76="Yes", 150000, 0)))</f>
      </c>
      <c r="AA76" s="8">
        <f>IF(E76="","",IF(OR(L76&gt;0, E76&lt;&gt;""), 2400, 0))</f>
      </c>
      <c r="AB76" s="7"/>
      <c r="AC76" s="8">
        <f>IF(E76="","",MAX(0, MAX(0, Z76*0.1) + MAX(0, (Z76-24000)*0.15) + MAX(0, (Z76-32333)*0.05) + MAX(0, (Z76-500000)*0.025) + MAX(0, (Z76-800000)*0.025) - AA76 - AB76))</f>
      </c>
      <c r="AD76" s="8">
        <f>IF(E76="","",AC76)</f>
      </c>
    </row>
    <row r="77" spans="1:30" x14ac:dyDescent="0.25">
      <c r="A77" s="6"/>
      <c r="B77" s="6"/>
      <c r="C77" s="6"/>
      <c r="F77" s="6"/>
      <c r="G77" s="6"/>
      <c r="L77" s="7"/>
      <c r="M77" s="7"/>
      <c r="N77" s="7"/>
      <c r="O77" s="7"/>
      <c r="P77" s="7"/>
      <c r="Q77" s="7"/>
      <c r="R77" s="7"/>
      <c r="S77" s="8">
        <f>IF(E77="","",SUM(L77:O77) + Q77 + R77)</f>
      </c>
      <c r="T77" s="8">
        <f>IF(E77="","",S77*0.0275)</f>
      </c>
      <c r="U77" s="8">
        <f>IF(E77="","",IF(S77&gt;0, MIN(S77*0.06, 6480), 0))</f>
      </c>
      <c r="V77" s="7"/>
      <c r="W77" s="7"/>
      <c r="X77" s="7"/>
      <c r="Y77" s="8">
        <f>IF(E77="","",S77*0.015)</f>
      </c>
      <c r="Z77" s="8">
        <f>IF(E77="","",MAX(0, S77 - T77 - U77 - V77 - W77 - X77 - Y77 - IF(J77="Yes", 150000, 0)))</f>
      </c>
      <c r="AA77" s="8">
        <f>IF(E77="","",IF(OR(L77&gt;0, E77&lt;&gt;""), 2400, 0))</f>
      </c>
      <c r="AB77" s="7"/>
      <c r="AC77" s="8">
        <f>IF(E77="","",MAX(0, MAX(0, Z77*0.1) + MAX(0, (Z77-24000)*0.15) + MAX(0, (Z77-32333)*0.05) + MAX(0, (Z77-500000)*0.025) + MAX(0, (Z77-800000)*0.025) - AA77 - AB77))</f>
      </c>
      <c r="AD77" s="8">
        <f>IF(E77="","",AC77)</f>
      </c>
    </row>
    <row r="78" spans="1:30" x14ac:dyDescent="0.25">
      <c r="A78" s="6"/>
      <c r="B78" s="6"/>
      <c r="C78" s="6"/>
      <c r="F78" s="6"/>
      <c r="G78" s="6"/>
      <c r="L78" s="7"/>
      <c r="M78" s="7"/>
      <c r="N78" s="7"/>
      <c r="O78" s="7"/>
      <c r="P78" s="7"/>
      <c r="Q78" s="7"/>
      <c r="R78" s="7"/>
      <c r="S78" s="8">
        <f>IF(E78="","",SUM(L78:O78) + Q78 + R78)</f>
      </c>
      <c r="T78" s="8">
        <f>IF(E78="","",S78*0.0275)</f>
      </c>
      <c r="U78" s="8">
        <f>IF(E78="","",IF(S78&gt;0, MIN(S78*0.06, 6480), 0))</f>
      </c>
      <c r="V78" s="7"/>
      <c r="W78" s="7"/>
      <c r="X78" s="7"/>
      <c r="Y78" s="8">
        <f>IF(E78="","",S78*0.015)</f>
      </c>
      <c r="Z78" s="8">
        <f>IF(E78="","",MAX(0, S78 - T78 - U78 - V78 - W78 - X78 - Y78 - IF(J78="Yes", 150000, 0)))</f>
      </c>
      <c r="AA78" s="8">
        <f>IF(E78="","",IF(OR(L78&gt;0, E78&lt;&gt;""), 2400, 0))</f>
      </c>
      <c r="AB78" s="7"/>
      <c r="AC78" s="8">
        <f>IF(E78="","",MAX(0, MAX(0, Z78*0.1) + MAX(0, (Z78-24000)*0.15) + MAX(0, (Z78-32333)*0.05) + MAX(0, (Z78-500000)*0.025) + MAX(0, (Z78-800000)*0.025) - AA78 - AB78))</f>
      </c>
      <c r="AD78" s="8">
        <f>IF(E78="","",AC78)</f>
      </c>
    </row>
    <row r="79" spans="1:30" x14ac:dyDescent="0.25">
      <c r="A79" s="6"/>
      <c r="B79" s="6"/>
      <c r="C79" s="6"/>
      <c r="F79" s="6"/>
      <c r="G79" s="6"/>
      <c r="L79" s="7"/>
      <c r="M79" s="7"/>
      <c r="N79" s="7"/>
      <c r="O79" s="7"/>
      <c r="P79" s="7"/>
      <c r="Q79" s="7"/>
      <c r="R79" s="7"/>
      <c r="S79" s="8">
        <f>IF(E79="","",SUM(L79:O79) + Q79 + R79)</f>
      </c>
      <c r="T79" s="8">
        <f>IF(E79="","",S79*0.0275)</f>
      </c>
      <c r="U79" s="8">
        <f>IF(E79="","",IF(S79&gt;0, MIN(S79*0.06, 6480), 0))</f>
      </c>
      <c r="V79" s="7"/>
      <c r="W79" s="7"/>
      <c r="X79" s="7"/>
      <c r="Y79" s="8">
        <f>IF(E79="","",S79*0.015)</f>
      </c>
      <c r="Z79" s="8">
        <f>IF(E79="","",MAX(0, S79 - T79 - U79 - V79 - W79 - X79 - Y79 - IF(J79="Yes", 150000, 0)))</f>
      </c>
      <c r="AA79" s="8">
        <f>IF(E79="","",IF(OR(L79&gt;0, E79&lt;&gt;""), 2400, 0))</f>
      </c>
      <c r="AB79" s="7"/>
      <c r="AC79" s="8">
        <f>IF(E79="","",MAX(0, MAX(0, Z79*0.1) + MAX(0, (Z79-24000)*0.15) + MAX(0, (Z79-32333)*0.05) + MAX(0, (Z79-500000)*0.025) + MAX(0, (Z79-800000)*0.025) - AA79 - AB79))</f>
      </c>
      <c r="AD79" s="8">
        <f>IF(E79="","",AC79)</f>
      </c>
    </row>
    <row r="80" spans="1:30" x14ac:dyDescent="0.25">
      <c r="A80" s="6"/>
      <c r="B80" s="6"/>
      <c r="C80" s="6"/>
      <c r="F80" s="6"/>
      <c r="G80" s="6"/>
      <c r="L80" s="7"/>
      <c r="M80" s="7"/>
      <c r="N80" s="7"/>
      <c r="O80" s="7"/>
      <c r="P80" s="7"/>
      <c r="Q80" s="7"/>
      <c r="R80" s="7"/>
      <c r="S80" s="8">
        <f>IF(E80="","",SUM(L80:O80) + Q80 + R80)</f>
      </c>
      <c r="T80" s="8">
        <f>IF(E80="","",S80*0.0275)</f>
      </c>
      <c r="U80" s="8">
        <f>IF(E80="","",IF(S80&gt;0, MIN(S80*0.06, 6480), 0))</f>
      </c>
      <c r="V80" s="7"/>
      <c r="W80" s="7"/>
      <c r="X80" s="7"/>
      <c r="Y80" s="8">
        <f>IF(E80="","",S80*0.015)</f>
      </c>
      <c r="Z80" s="8">
        <f>IF(E80="","",MAX(0, S80 - T80 - U80 - V80 - W80 - X80 - Y80 - IF(J80="Yes", 150000, 0)))</f>
      </c>
      <c r="AA80" s="8">
        <f>IF(E80="","",IF(OR(L80&gt;0, E80&lt;&gt;""), 2400, 0))</f>
      </c>
      <c r="AB80" s="7"/>
      <c r="AC80" s="8">
        <f>IF(E80="","",MAX(0, MAX(0, Z80*0.1) + MAX(0, (Z80-24000)*0.15) + MAX(0, (Z80-32333)*0.05) + MAX(0, (Z80-500000)*0.025) + MAX(0, (Z80-800000)*0.025) - AA80 - AB80))</f>
      </c>
      <c r="AD80" s="8">
        <f>IF(E80="","",AC80)</f>
      </c>
    </row>
    <row r="81" spans="1:30" x14ac:dyDescent="0.25">
      <c r="A81" s="6"/>
      <c r="B81" s="6"/>
      <c r="C81" s="6"/>
      <c r="F81" s="6"/>
      <c r="G81" s="6"/>
      <c r="L81" s="7"/>
      <c r="M81" s="7"/>
      <c r="N81" s="7"/>
      <c r="O81" s="7"/>
      <c r="P81" s="7"/>
      <c r="Q81" s="7"/>
      <c r="R81" s="7"/>
      <c r="S81" s="8">
        <f>IF(E81="","",SUM(L81:O81) + Q81 + R81)</f>
      </c>
      <c r="T81" s="8">
        <f>IF(E81="","",S81*0.0275)</f>
      </c>
      <c r="U81" s="8">
        <f>IF(E81="","",IF(S81&gt;0, MIN(S81*0.06, 6480), 0))</f>
      </c>
      <c r="V81" s="7"/>
      <c r="W81" s="7"/>
      <c r="X81" s="7"/>
      <c r="Y81" s="8">
        <f>IF(E81="","",S81*0.015)</f>
      </c>
      <c r="Z81" s="8">
        <f>IF(E81="","",MAX(0, S81 - T81 - U81 - V81 - W81 - X81 - Y81 - IF(J81="Yes", 150000, 0)))</f>
      </c>
      <c r="AA81" s="8">
        <f>IF(E81="","",IF(OR(L81&gt;0, E81&lt;&gt;""), 2400, 0))</f>
      </c>
      <c r="AB81" s="7"/>
      <c r="AC81" s="8">
        <f>IF(E81="","",MAX(0, MAX(0, Z81*0.1) + MAX(0, (Z81-24000)*0.15) + MAX(0, (Z81-32333)*0.05) + MAX(0, (Z81-500000)*0.025) + MAX(0, (Z81-800000)*0.025) - AA81 - AB81))</f>
      </c>
      <c r="AD81" s="8">
        <f>IF(E81="","",AC81)</f>
      </c>
    </row>
    <row r="82" spans="1:30" x14ac:dyDescent="0.25">
      <c r="A82" s="6"/>
      <c r="B82" s="6"/>
      <c r="C82" s="6"/>
      <c r="F82" s="6"/>
      <c r="G82" s="6"/>
      <c r="L82" s="7"/>
      <c r="M82" s="7"/>
      <c r="N82" s="7"/>
      <c r="O82" s="7"/>
      <c r="P82" s="7"/>
      <c r="Q82" s="7"/>
      <c r="R82" s="7"/>
      <c r="S82" s="8">
        <f>IF(E82="","",SUM(L82:O82) + Q82 + R82)</f>
      </c>
      <c r="T82" s="8">
        <f>IF(E82="","",S82*0.0275)</f>
      </c>
      <c r="U82" s="8">
        <f>IF(E82="","",IF(S82&gt;0, MIN(S82*0.06, 6480), 0))</f>
      </c>
      <c r="V82" s="7"/>
      <c r="W82" s="7"/>
      <c r="X82" s="7"/>
      <c r="Y82" s="8">
        <f>IF(E82="","",S82*0.015)</f>
      </c>
      <c r="Z82" s="8">
        <f>IF(E82="","",MAX(0, S82 - T82 - U82 - V82 - W82 - X82 - Y82 - IF(J82="Yes", 150000, 0)))</f>
      </c>
      <c r="AA82" s="8">
        <f>IF(E82="","",IF(OR(L82&gt;0, E82&lt;&gt;""), 2400, 0))</f>
      </c>
      <c r="AB82" s="7"/>
      <c r="AC82" s="8">
        <f>IF(E82="","",MAX(0, MAX(0, Z82*0.1) + MAX(0, (Z82-24000)*0.15) + MAX(0, (Z82-32333)*0.05) + MAX(0, (Z82-500000)*0.025) + MAX(0, (Z82-800000)*0.025) - AA82 - AB82))</f>
      </c>
      <c r="AD82" s="8">
        <f>IF(E82="","",AC82)</f>
      </c>
    </row>
    <row r="83" spans="1:30" x14ac:dyDescent="0.25">
      <c r="A83" s="6"/>
      <c r="B83" s="6"/>
      <c r="C83" s="6"/>
      <c r="F83" s="6"/>
      <c r="G83" s="6"/>
      <c r="L83" s="7"/>
      <c r="M83" s="7"/>
      <c r="N83" s="7"/>
      <c r="O83" s="7"/>
      <c r="P83" s="7"/>
      <c r="Q83" s="7"/>
      <c r="R83" s="7"/>
      <c r="S83" s="8">
        <f>IF(E83="","",SUM(L83:O83) + Q83 + R83)</f>
      </c>
      <c r="T83" s="8">
        <f>IF(E83="","",S83*0.0275)</f>
      </c>
      <c r="U83" s="8">
        <f>IF(E83="","",IF(S83&gt;0, MIN(S83*0.06, 6480), 0))</f>
      </c>
      <c r="V83" s="7"/>
      <c r="W83" s="7"/>
      <c r="X83" s="7"/>
      <c r="Y83" s="8">
        <f>IF(E83="","",S83*0.015)</f>
      </c>
      <c r="Z83" s="8">
        <f>IF(E83="","",MAX(0, S83 - T83 - U83 - V83 - W83 - X83 - Y83 - IF(J83="Yes", 150000, 0)))</f>
      </c>
      <c r="AA83" s="8">
        <f>IF(E83="","",IF(OR(L83&gt;0, E83&lt;&gt;""), 2400, 0))</f>
      </c>
      <c r="AB83" s="7"/>
      <c r="AC83" s="8">
        <f>IF(E83="","",MAX(0, MAX(0, Z83*0.1) + MAX(0, (Z83-24000)*0.15) + MAX(0, (Z83-32333)*0.05) + MAX(0, (Z83-500000)*0.025) + MAX(0, (Z83-800000)*0.025) - AA83 - AB83))</f>
      </c>
      <c r="AD83" s="8">
        <f>IF(E83="","",AC83)</f>
      </c>
    </row>
    <row r="84" spans="1:30" x14ac:dyDescent="0.25">
      <c r="A84" s="6"/>
      <c r="B84" s="6"/>
      <c r="C84" s="6"/>
      <c r="F84" s="6"/>
      <c r="G84" s="6"/>
      <c r="L84" s="7"/>
      <c r="M84" s="7"/>
      <c r="N84" s="7"/>
      <c r="O84" s="7"/>
      <c r="P84" s="7"/>
      <c r="Q84" s="7"/>
      <c r="R84" s="7"/>
      <c r="S84" s="8">
        <f>IF(E84="","",SUM(L84:O84) + Q84 + R84)</f>
      </c>
      <c r="T84" s="8">
        <f>IF(E84="","",S84*0.0275)</f>
      </c>
      <c r="U84" s="8">
        <f>IF(E84="","",IF(S84&gt;0, MIN(S84*0.06, 6480), 0))</f>
      </c>
      <c r="V84" s="7"/>
      <c r="W84" s="7"/>
      <c r="X84" s="7"/>
      <c r="Y84" s="8">
        <f>IF(E84="","",S84*0.015)</f>
      </c>
      <c r="Z84" s="8">
        <f>IF(E84="","",MAX(0, S84 - T84 - U84 - V84 - W84 - X84 - Y84 - IF(J84="Yes", 150000, 0)))</f>
      </c>
      <c r="AA84" s="8">
        <f>IF(E84="","",IF(OR(L84&gt;0, E84&lt;&gt;""), 2400, 0))</f>
      </c>
      <c r="AB84" s="7"/>
      <c r="AC84" s="8">
        <f>IF(E84="","",MAX(0, MAX(0, Z84*0.1) + MAX(0, (Z84-24000)*0.15) + MAX(0, (Z84-32333)*0.05) + MAX(0, (Z84-500000)*0.025) + MAX(0, (Z84-800000)*0.025) - AA84 - AB84))</f>
      </c>
      <c r="AD84" s="8">
        <f>IF(E84="","",AC84)</f>
      </c>
    </row>
    <row r="85" spans="1:30" x14ac:dyDescent="0.25">
      <c r="A85" s="6"/>
      <c r="B85" s="6"/>
      <c r="C85" s="6"/>
      <c r="F85" s="6"/>
      <c r="G85" s="6"/>
      <c r="L85" s="7"/>
      <c r="M85" s="7"/>
      <c r="N85" s="7"/>
      <c r="O85" s="7"/>
      <c r="P85" s="7"/>
      <c r="Q85" s="7"/>
      <c r="R85" s="7"/>
      <c r="S85" s="8">
        <f>IF(E85="","",SUM(L85:O85) + Q85 + R85)</f>
      </c>
      <c r="T85" s="8">
        <f>IF(E85="","",S85*0.0275)</f>
      </c>
      <c r="U85" s="8">
        <f>IF(E85="","",IF(S85&gt;0, MIN(S85*0.06, 6480), 0))</f>
      </c>
      <c r="V85" s="7"/>
      <c r="W85" s="7"/>
      <c r="X85" s="7"/>
      <c r="Y85" s="8">
        <f>IF(E85="","",S85*0.015)</f>
      </c>
      <c r="Z85" s="8">
        <f>IF(E85="","",MAX(0, S85 - T85 - U85 - V85 - W85 - X85 - Y85 - IF(J85="Yes", 150000, 0)))</f>
      </c>
      <c r="AA85" s="8">
        <f>IF(E85="","",IF(OR(L85&gt;0, E85&lt;&gt;""), 2400, 0))</f>
      </c>
      <c r="AB85" s="7"/>
      <c r="AC85" s="8">
        <f>IF(E85="","",MAX(0, MAX(0, Z85*0.1) + MAX(0, (Z85-24000)*0.15) + MAX(0, (Z85-32333)*0.05) + MAX(0, (Z85-500000)*0.025) + MAX(0, (Z85-800000)*0.025) - AA85 - AB85))</f>
      </c>
      <c r="AD85" s="8">
        <f>IF(E85="","",AC85)</f>
      </c>
    </row>
    <row r="86" spans="1:30" x14ac:dyDescent="0.25">
      <c r="A86" s="6"/>
      <c r="B86" s="6"/>
      <c r="C86" s="6"/>
      <c r="F86" s="6"/>
      <c r="G86" s="6"/>
      <c r="L86" s="7"/>
      <c r="M86" s="7"/>
      <c r="N86" s="7"/>
      <c r="O86" s="7"/>
      <c r="P86" s="7"/>
      <c r="Q86" s="7"/>
      <c r="R86" s="7"/>
      <c r="S86" s="8">
        <f>IF(E86="","",SUM(L86:O86) + Q86 + R86)</f>
      </c>
      <c r="T86" s="8">
        <f>IF(E86="","",S86*0.0275)</f>
      </c>
      <c r="U86" s="8">
        <f>IF(E86="","",IF(S86&gt;0, MIN(S86*0.06, 6480), 0))</f>
      </c>
      <c r="V86" s="7"/>
      <c r="W86" s="7"/>
      <c r="X86" s="7"/>
      <c r="Y86" s="8">
        <f>IF(E86="","",S86*0.015)</f>
      </c>
      <c r="Z86" s="8">
        <f>IF(E86="","",MAX(0, S86 - T86 - U86 - V86 - W86 - X86 - Y86 - IF(J86="Yes", 150000, 0)))</f>
      </c>
      <c r="AA86" s="8">
        <f>IF(E86="","",IF(OR(L86&gt;0, E86&lt;&gt;""), 2400, 0))</f>
      </c>
      <c r="AB86" s="7"/>
      <c r="AC86" s="8">
        <f>IF(E86="","",MAX(0, MAX(0, Z86*0.1) + MAX(0, (Z86-24000)*0.15) + MAX(0, (Z86-32333)*0.05) + MAX(0, (Z86-500000)*0.025) + MAX(0, (Z86-800000)*0.025) - AA86 - AB86))</f>
      </c>
      <c r="AD86" s="8">
        <f>IF(E86="","",AC86)</f>
      </c>
    </row>
    <row r="87" spans="1:30" x14ac:dyDescent="0.25">
      <c r="A87" s="6"/>
      <c r="B87" s="6"/>
      <c r="C87" s="6"/>
      <c r="F87" s="6"/>
      <c r="G87" s="6"/>
      <c r="L87" s="7"/>
      <c r="M87" s="7"/>
      <c r="N87" s="7"/>
      <c r="O87" s="7"/>
      <c r="P87" s="7"/>
      <c r="Q87" s="7"/>
      <c r="R87" s="7"/>
      <c r="S87" s="8">
        <f>IF(E87="","",SUM(L87:O87) + Q87 + R87)</f>
      </c>
      <c r="T87" s="8">
        <f>IF(E87="","",S87*0.0275)</f>
      </c>
      <c r="U87" s="8">
        <f>IF(E87="","",IF(S87&gt;0, MIN(S87*0.06, 6480), 0))</f>
      </c>
      <c r="V87" s="7"/>
      <c r="W87" s="7"/>
      <c r="X87" s="7"/>
      <c r="Y87" s="8">
        <f>IF(E87="","",S87*0.015)</f>
      </c>
      <c r="Z87" s="8">
        <f>IF(E87="","",MAX(0, S87 - T87 - U87 - V87 - W87 - X87 - Y87 - IF(J87="Yes", 150000, 0)))</f>
      </c>
      <c r="AA87" s="8">
        <f>IF(E87="","",IF(OR(L87&gt;0, E87&lt;&gt;""), 2400, 0))</f>
      </c>
      <c r="AB87" s="7"/>
      <c r="AC87" s="8">
        <f>IF(E87="","",MAX(0, MAX(0, Z87*0.1) + MAX(0, (Z87-24000)*0.15) + MAX(0, (Z87-32333)*0.05) + MAX(0, (Z87-500000)*0.025) + MAX(0, (Z87-800000)*0.025) - AA87 - AB87))</f>
      </c>
      <c r="AD87" s="8">
        <f>IF(E87="","",AC87)</f>
      </c>
    </row>
    <row r="88" spans="1:30" x14ac:dyDescent="0.25">
      <c r="A88" s="6"/>
      <c r="B88" s="6"/>
      <c r="C88" s="6"/>
      <c r="F88" s="6"/>
      <c r="G88" s="6"/>
      <c r="L88" s="7"/>
      <c r="M88" s="7"/>
      <c r="N88" s="7"/>
      <c r="O88" s="7"/>
      <c r="P88" s="7"/>
      <c r="Q88" s="7"/>
      <c r="R88" s="7"/>
      <c r="S88" s="8">
        <f>IF(E88="","",SUM(L88:O88) + Q88 + R88)</f>
      </c>
      <c r="T88" s="8">
        <f>IF(E88="","",S88*0.0275)</f>
      </c>
      <c r="U88" s="8">
        <f>IF(E88="","",IF(S88&gt;0, MIN(S88*0.06, 6480), 0))</f>
      </c>
      <c r="V88" s="7"/>
      <c r="W88" s="7"/>
      <c r="X88" s="7"/>
      <c r="Y88" s="8">
        <f>IF(E88="","",S88*0.015)</f>
      </c>
      <c r="Z88" s="8">
        <f>IF(E88="","",MAX(0, S88 - T88 - U88 - V88 - W88 - X88 - Y88 - IF(J88="Yes", 150000, 0)))</f>
      </c>
      <c r="AA88" s="8">
        <f>IF(E88="","",IF(OR(L88&gt;0, E88&lt;&gt;""), 2400, 0))</f>
      </c>
      <c r="AB88" s="7"/>
      <c r="AC88" s="8">
        <f>IF(E88="","",MAX(0, MAX(0, Z88*0.1) + MAX(0, (Z88-24000)*0.15) + MAX(0, (Z88-32333)*0.05) + MAX(0, (Z88-500000)*0.025) + MAX(0, (Z88-800000)*0.025) - AA88 - AB88))</f>
      </c>
      <c r="AD88" s="8">
        <f>IF(E88="","",AC88)</f>
      </c>
    </row>
    <row r="89" spans="1:30" x14ac:dyDescent="0.25">
      <c r="A89" s="6"/>
      <c r="B89" s="6"/>
      <c r="C89" s="6"/>
      <c r="F89" s="6"/>
      <c r="G89" s="6"/>
      <c r="L89" s="7"/>
      <c r="M89" s="7"/>
      <c r="N89" s="7"/>
      <c r="O89" s="7"/>
      <c r="P89" s="7"/>
      <c r="Q89" s="7"/>
      <c r="R89" s="7"/>
      <c r="S89" s="8">
        <f>IF(E89="","",SUM(L89:O89) + Q89 + R89)</f>
      </c>
      <c r="T89" s="8">
        <f>IF(E89="","",S89*0.0275)</f>
      </c>
      <c r="U89" s="8">
        <f>IF(E89="","",IF(S89&gt;0, MIN(S89*0.06, 6480), 0))</f>
      </c>
      <c r="V89" s="7"/>
      <c r="W89" s="7"/>
      <c r="X89" s="7"/>
      <c r="Y89" s="8">
        <f>IF(E89="","",S89*0.015)</f>
      </c>
      <c r="Z89" s="8">
        <f>IF(E89="","",MAX(0, S89 - T89 - U89 - V89 - W89 - X89 - Y89 - IF(J89="Yes", 150000, 0)))</f>
      </c>
      <c r="AA89" s="8">
        <f>IF(E89="","",IF(OR(L89&gt;0, E89&lt;&gt;""), 2400, 0))</f>
      </c>
      <c r="AB89" s="7"/>
      <c r="AC89" s="8">
        <f>IF(E89="","",MAX(0, MAX(0, Z89*0.1) + MAX(0, (Z89-24000)*0.15) + MAX(0, (Z89-32333)*0.05) + MAX(0, (Z89-500000)*0.025) + MAX(0, (Z89-800000)*0.025) - AA89 - AB89))</f>
      </c>
      <c r="AD89" s="8">
        <f>IF(E89="","",AC89)</f>
      </c>
    </row>
    <row r="90" spans="1:30" x14ac:dyDescent="0.25">
      <c r="A90" s="6"/>
      <c r="B90" s="6"/>
      <c r="C90" s="6"/>
      <c r="F90" s="6"/>
      <c r="G90" s="6"/>
      <c r="L90" s="7"/>
      <c r="M90" s="7"/>
      <c r="N90" s="7"/>
      <c r="O90" s="7"/>
      <c r="P90" s="7"/>
      <c r="Q90" s="7"/>
      <c r="R90" s="7"/>
      <c r="S90" s="8">
        <f>IF(E90="","",SUM(L90:O90) + Q90 + R90)</f>
      </c>
      <c r="T90" s="8">
        <f>IF(E90="","",S90*0.0275)</f>
      </c>
      <c r="U90" s="8">
        <f>IF(E90="","",IF(S90&gt;0, MIN(S90*0.06, 6480), 0))</f>
      </c>
      <c r="V90" s="7"/>
      <c r="W90" s="7"/>
      <c r="X90" s="7"/>
      <c r="Y90" s="8">
        <f>IF(E90="","",S90*0.015)</f>
      </c>
      <c r="Z90" s="8">
        <f>IF(E90="","",MAX(0, S90 - T90 - U90 - V90 - W90 - X90 - Y90 - IF(J90="Yes", 150000, 0)))</f>
      </c>
      <c r="AA90" s="8">
        <f>IF(E90="","",IF(OR(L90&gt;0, E90&lt;&gt;""), 2400, 0))</f>
      </c>
      <c r="AB90" s="7"/>
      <c r="AC90" s="8">
        <f>IF(E90="","",MAX(0, MAX(0, Z90*0.1) + MAX(0, (Z90-24000)*0.15) + MAX(0, (Z90-32333)*0.05) + MAX(0, (Z90-500000)*0.025) + MAX(0, (Z90-800000)*0.025) - AA90 - AB90))</f>
      </c>
      <c r="AD90" s="8">
        <f>IF(E90="","",AC90)</f>
      </c>
    </row>
    <row r="91" spans="1:30" x14ac:dyDescent="0.25">
      <c r="A91" s="6"/>
      <c r="B91" s="6"/>
      <c r="C91" s="6"/>
      <c r="F91" s="6"/>
      <c r="G91" s="6"/>
      <c r="L91" s="7"/>
      <c r="M91" s="7"/>
      <c r="N91" s="7"/>
      <c r="O91" s="7"/>
      <c r="P91" s="7"/>
      <c r="Q91" s="7"/>
      <c r="R91" s="7"/>
      <c r="S91" s="8">
        <f>IF(E91="","",SUM(L91:O91) + Q91 + R91)</f>
      </c>
      <c r="T91" s="8">
        <f>IF(E91="","",S91*0.0275)</f>
      </c>
      <c r="U91" s="8">
        <f>IF(E91="","",IF(S91&gt;0, MIN(S91*0.06, 6480), 0))</f>
      </c>
      <c r="V91" s="7"/>
      <c r="W91" s="7"/>
      <c r="X91" s="7"/>
      <c r="Y91" s="8">
        <f>IF(E91="","",S91*0.015)</f>
      </c>
      <c r="Z91" s="8">
        <f>IF(E91="","",MAX(0, S91 - T91 - U91 - V91 - W91 - X91 - Y91 - IF(J91="Yes", 150000, 0)))</f>
      </c>
      <c r="AA91" s="8">
        <f>IF(E91="","",IF(OR(L91&gt;0, E91&lt;&gt;""), 2400, 0))</f>
      </c>
      <c r="AB91" s="7"/>
      <c r="AC91" s="8">
        <f>IF(E91="","",MAX(0, MAX(0, Z91*0.1) + MAX(0, (Z91-24000)*0.15) + MAX(0, (Z91-32333)*0.05) + MAX(0, (Z91-500000)*0.025) + MAX(0, (Z91-800000)*0.025) - AA91 - AB91))</f>
      </c>
      <c r="AD91" s="8">
        <f>IF(E91="","",AC91)</f>
      </c>
    </row>
    <row r="92" spans="1:30" x14ac:dyDescent="0.25">
      <c r="A92" s="6"/>
      <c r="B92" s="6"/>
      <c r="C92" s="6"/>
      <c r="F92" s="6"/>
      <c r="G92" s="6"/>
      <c r="L92" s="7"/>
      <c r="M92" s="7"/>
      <c r="N92" s="7"/>
      <c r="O92" s="7"/>
      <c r="P92" s="7"/>
      <c r="Q92" s="7"/>
      <c r="R92" s="7"/>
      <c r="S92" s="8">
        <f>IF(E92="","",SUM(L92:O92) + Q92 + R92)</f>
      </c>
      <c r="T92" s="8">
        <f>IF(E92="","",S92*0.0275)</f>
      </c>
      <c r="U92" s="8">
        <f>IF(E92="","",IF(S92&gt;0, MIN(S92*0.06, 6480), 0))</f>
      </c>
      <c r="V92" s="7"/>
      <c r="W92" s="7"/>
      <c r="X92" s="7"/>
      <c r="Y92" s="8">
        <f>IF(E92="","",S92*0.015)</f>
      </c>
      <c r="Z92" s="8">
        <f>IF(E92="","",MAX(0, S92 - T92 - U92 - V92 - W92 - X92 - Y92 - IF(J92="Yes", 150000, 0)))</f>
      </c>
      <c r="AA92" s="8">
        <f>IF(E92="","",IF(OR(L92&gt;0, E92&lt;&gt;""), 2400, 0))</f>
      </c>
      <c r="AB92" s="7"/>
      <c r="AC92" s="8">
        <f>IF(E92="","",MAX(0, MAX(0, Z92*0.1) + MAX(0, (Z92-24000)*0.15) + MAX(0, (Z92-32333)*0.05) + MAX(0, (Z92-500000)*0.025) + MAX(0, (Z92-800000)*0.025) - AA92 - AB92))</f>
      </c>
      <c r="AD92" s="8">
        <f>IF(E92="","",AC92)</f>
      </c>
    </row>
    <row r="93" spans="1:30" x14ac:dyDescent="0.25">
      <c r="A93" s="6"/>
      <c r="B93" s="6"/>
      <c r="C93" s="6"/>
      <c r="F93" s="6"/>
      <c r="G93" s="6"/>
      <c r="L93" s="7"/>
      <c r="M93" s="7"/>
      <c r="N93" s="7"/>
      <c r="O93" s="7"/>
      <c r="P93" s="7"/>
      <c r="Q93" s="7"/>
      <c r="R93" s="7"/>
      <c r="S93" s="8">
        <f>IF(E93="","",SUM(L93:O93) + Q93 + R93)</f>
      </c>
      <c r="T93" s="8">
        <f>IF(E93="","",S93*0.0275)</f>
      </c>
      <c r="U93" s="8">
        <f>IF(E93="","",IF(S93&gt;0, MIN(S93*0.06, 6480), 0))</f>
      </c>
      <c r="V93" s="7"/>
      <c r="W93" s="7"/>
      <c r="X93" s="7"/>
      <c r="Y93" s="8">
        <f>IF(E93="","",S93*0.015)</f>
      </c>
      <c r="Z93" s="8">
        <f>IF(E93="","",MAX(0, S93 - T93 - U93 - V93 - W93 - X93 - Y93 - IF(J93="Yes", 150000, 0)))</f>
      </c>
      <c r="AA93" s="8">
        <f>IF(E93="","",IF(OR(L93&gt;0, E93&lt;&gt;""), 2400, 0))</f>
      </c>
      <c r="AB93" s="7"/>
      <c r="AC93" s="8">
        <f>IF(E93="","",MAX(0, MAX(0, Z93*0.1) + MAX(0, (Z93-24000)*0.15) + MAX(0, (Z93-32333)*0.05) + MAX(0, (Z93-500000)*0.025) + MAX(0, (Z93-800000)*0.025) - AA93 - AB93))</f>
      </c>
      <c r="AD93" s="8">
        <f>IF(E93="","",AC93)</f>
      </c>
    </row>
    <row r="94" spans="1:30" x14ac:dyDescent="0.25">
      <c r="A94" s="6"/>
      <c r="B94" s="6"/>
      <c r="C94" s="6"/>
      <c r="F94" s="6"/>
      <c r="G94" s="6"/>
      <c r="L94" s="7"/>
      <c r="M94" s="7"/>
      <c r="N94" s="7"/>
      <c r="O94" s="7"/>
      <c r="P94" s="7"/>
      <c r="Q94" s="7"/>
      <c r="R94" s="7"/>
      <c r="S94" s="8">
        <f>IF(E94="","",SUM(L94:O94) + Q94 + R94)</f>
      </c>
      <c r="T94" s="8">
        <f>IF(E94="","",S94*0.0275)</f>
      </c>
      <c r="U94" s="8">
        <f>IF(E94="","",IF(S94&gt;0, MIN(S94*0.06, 6480), 0))</f>
      </c>
      <c r="V94" s="7"/>
      <c r="W94" s="7"/>
      <c r="X94" s="7"/>
      <c r="Y94" s="8">
        <f>IF(E94="","",S94*0.015)</f>
      </c>
      <c r="Z94" s="8">
        <f>IF(E94="","",MAX(0, S94 - T94 - U94 - V94 - W94 - X94 - Y94 - IF(J94="Yes", 150000, 0)))</f>
      </c>
      <c r="AA94" s="8">
        <f>IF(E94="","",IF(OR(L94&gt;0, E94&lt;&gt;""), 2400, 0))</f>
      </c>
      <c r="AB94" s="7"/>
      <c r="AC94" s="8">
        <f>IF(E94="","",MAX(0, MAX(0, Z94*0.1) + MAX(0, (Z94-24000)*0.15) + MAX(0, (Z94-32333)*0.05) + MAX(0, (Z94-500000)*0.025) + MAX(0, (Z94-800000)*0.025) - AA94 - AB94))</f>
      </c>
      <c r="AD94" s="8">
        <f>IF(E94="","",AC94)</f>
      </c>
    </row>
    <row r="95" spans="1:30" x14ac:dyDescent="0.25">
      <c r="A95" s="6"/>
      <c r="B95" s="6"/>
      <c r="C95" s="6"/>
      <c r="F95" s="6"/>
      <c r="G95" s="6"/>
      <c r="L95" s="7"/>
      <c r="M95" s="7"/>
      <c r="N95" s="7"/>
      <c r="O95" s="7"/>
      <c r="P95" s="7"/>
      <c r="Q95" s="7"/>
      <c r="R95" s="7"/>
      <c r="S95" s="8">
        <f>IF(E95="","",SUM(L95:O95) + Q95 + R95)</f>
      </c>
      <c r="T95" s="8">
        <f>IF(E95="","",S95*0.0275)</f>
      </c>
      <c r="U95" s="8">
        <f>IF(E95="","",IF(S95&gt;0, MIN(S95*0.06, 6480), 0))</f>
      </c>
      <c r="V95" s="7"/>
      <c r="W95" s="7"/>
      <c r="X95" s="7"/>
      <c r="Y95" s="8">
        <f>IF(E95="","",S95*0.015)</f>
      </c>
      <c r="Z95" s="8">
        <f>IF(E95="","",MAX(0, S95 - T95 - U95 - V95 - W95 - X95 - Y95 - IF(J95="Yes", 150000, 0)))</f>
      </c>
      <c r="AA95" s="8">
        <f>IF(E95="","",IF(OR(L95&gt;0, E95&lt;&gt;""), 2400, 0))</f>
      </c>
      <c r="AB95" s="7"/>
      <c r="AC95" s="8">
        <f>IF(E95="","",MAX(0, MAX(0, Z95*0.1) + MAX(0, (Z95-24000)*0.15) + MAX(0, (Z95-32333)*0.05) + MAX(0, (Z95-500000)*0.025) + MAX(0, (Z95-800000)*0.025) - AA95 - AB95))</f>
      </c>
      <c r="AD95" s="8">
        <f>IF(E95="","",AC95)</f>
      </c>
    </row>
    <row r="96" spans="1:30" x14ac:dyDescent="0.25">
      <c r="A96" s="6"/>
      <c r="B96" s="6"/>
      <c r="C96" s="6"/>
      <c r="F96" s="6"/>
      <c r="G96" s="6"/>
      <c r="L96" s="7"/>
      <c r="M96" s="7"/>
      <c r="N96" s="7"/>
      <c r="O96" s="7"/>
      <c r="P96" s="7"/>
      <c r="Q96" s="7"/>
      <c r="R96" s="7"/>
      <c r="S96" s="8">
        <f>IF(E96="","",SUM(L96:O96) + Q96 + R96)</f>
      </c>
      <c r="T96" s="8">
        <f>IF(E96="","",S96*0.0275)</f>
      </c>
      <c r="U96" s="8">
        <f>IF(E96="","",IF(S96&gt;0, MIN(S96*0.06, 6480), 0))</f>
      </c>
      <c r="V96" s="7"/>
      <c r="W96" s="7"/>
      <c r="X96" s="7"/>
      <c r="Y96" s="8">
        <f>IF(E96="","",S96*0.015)</f>
      </c>
      <c r="Z96" s="8">
        <f>IF(E96="","",MAX(0, S96 - T96 - U96 - V96 - W96 - X96 - Y96 - IF(J96="Yes", 150000, 0)))</f>
      </c>
      <c r="AA96" s="8">
        <f>IF(E96="","",IF(OR(L96&gt;0, E96&lt;&gt;""), 2400, 0))</f>
      </c>
      <c r="AB96" s="7"/>
      <c r="AC96" s="8">
        <f>IF(E96="","",MAX(0, MAX(0, Z96*0.1) + MAX(0, (Z96-24000)*0.15) + MAX(0, (Z96-32333)*0.05) + MAX(0, (Z96-500000)*0.025) + MAX(0, (Z96-800000)*0.025) - AA96 - AB96))</f>
      </c>
      <c r="AD96" s="8">
        <f>IF(E96="","",AC96)</f>
      </c>
    </row>
    <row r="97" spans="1:30" x14ac:dyDescent="0.25">
      <c r="A97" s="6"/>
      <c r="B97" s="6"/>
      <c r="C97" s="6"/>
      <c r="F97" s="6"/>
      <c r="G97" s="6"/>
      <c r="L97" s="7"/>
      <c r="M97" s="7"/>
      <c r="N97" s="7"/>
      <c r="O97" s="7"/>
      <c r="P97" s="7"/>
      <c r="Q97" s="7"/>
      <c r="R97" s="7"/>
      <c r="S97" s="8">
        <f>IF(E97="","",SUM(L97:O97) + Q97 + R97)</f>
      </c>
      <c r="T97" s="8">
        <f>IF(E97="","",S97*0.0275)</f>
      </c>
      <c r="U97" s="8">
        <f>IF(E97="","",IF(S97&gt;0, MIN(S97*0.06, 6480), 0))</f>
      </c>
      <c r="V97" s="7"/>
      <c r="W97" s="7"/>
      <c r="X97" s="7"/>
      <c r="Y97" s="8">
        <f>IF(E97="","",S97*0.015)</f>
      </c>
      <c r="Z97" s="8">
        <f>IF(E97="","",MAX(0, S97 - T97 - U97 - V97 - W97 - X97 - Y97 - IF(J97="Yes", 150000, 0)))</f>
      </c>
      <c r="AA97" s="8">
        <f>IF(E97="","",IF(OR(L97&gt;0, E97&lt;&gt;""), 2400, 0))</f>
      </c>
      <c r="AB97" s="7"/>
      <c r="AC97" s="8">
        <f>IF(E97="","",MAX(0, MAX(0, Z97*0.1) + MAX(0, (Z97-24000)*0.15) + MAX(0, (Z97-32333)*0.05) + MAX(0, (Z97-500000)*0.025) + MAX(0, (Z97-800000)*0.025) - AA97 - AB97))</f>
      </c>
      <c r="AD97" s="8">
        <f>IF(E97="","",AC97)</f>
      </c>
    </row>
    <row r="98" spans="1:30" x14ac:dyDescent="0.25">
      <c r="A98" s="6"/>
      <c r="B98" s="6"/>
      <c r="C98" s="6"/>
      <c r="F98" s="6"/>
      <c r="G98" s="6"/>
      <c r="L98" s="7"/>
      <c r="M98" s="7"/>
      <c r="N98" s="7"/>
      <c r="O98" s="7"/>
      <c r="P98" s="7"/>
      <c r="Q98" s="7"/>
      <c r="R98" s="7"/>
      <c r="S98" s="8">
        <f>IF(E98="","",SUM(L98:O98) + Q98 + R98)</f>
      </c>
      <c r="T98" s="8">
        <f>IF(E98="","",S98*0.0275)</f>
      </c>
      <c r="U98" s="8">
        <f>IF(E98="","",IF(S98&gt;0, MIN(S98*0.06, 6480), 0))</f>
      </c>
      <c r="V98" s="7"/>
      <c r="W98" s="7"/>
      <c r="X98" s="7"/>
      <c r="Y98" s="8">
        <f>IF(E98="","",S98*0.015)</f>
      </c>
      <c r="Z98" s="8">
        <f>IF(E98="","",MAX(0, S98 - T98 - U98 - V98 - W98 - X98 - Y98 - IF(J98="Yes", 150000, 0)))</f>
      </c>
      <c r="AA98" s="8">
        <f>IF(E98="","",IF(OR(L98&gt;0, E98&lt;&gt;""), 2400, 0))</f>
      </c>
      <c r="AB98" s="7"/>
      <c r="AC98" s="8">
        <f>IF(E98="","",MAX(0, MAX(0, Z98*0.1) + MAX(0, (Z98-24000)*0.15) + MAX(0, (Z98-32333)*0.05) + MAX(0, (Z98-500000)*0.025) + MAX(0, (Z98-800000)*0.025) - AA98 - AB98))</f>
      </c>
      <c r="AD98" s="8">
        <f>IF(E98="","",AC98)</f>
      </c>
    </row>
    <row r="99" spans="1:30" x14ac:dyDescent="0.25">
      <c r="A99" s="6"/>
      <c r="B99" s="6"/>
      <c r="C99" s="6"/>
      <c r="F99" s="6"/>
      <c r="G99" s="6"/>
      <c r="L99" s="7"/>
      <c r="M99" s="7"/>
      <c r="N99" s="7"/>
      <c r="O99" s="7"/>
      <c r="P99" s="7"/>
      <c r="Q99" s="7"/>
      <c r="R99" s="7"/>
      <c r="S99" s="8">
        <f>IF(E99="","",SUM(L99:O99) + Q99 + R99)</f>
      </c>
      <c r="T99" s="8">
        <f>IF(E99="","",S99*0.0275)</f>
      </c>
      <c r="U99" s="8">
        <f>IF(E99="","",IF(S99&gt;0, MIN(S99*0.06, 6480), 0))</f>
      </c>
      <c r="V99" s="7"/>
      <c r="W99" s="7"/>
      <c r="X99" s="7"/>
      <c r="Y99" s="8">
        <f>IF(E99="","",S99*0.015)</f>
      </c>
      <c r="Z99" s="8">
        <f>IF(E99="","",MAX(0, S99 - T99 - U99 - V99 - W99 - X99 - Y99 - IF(J99="Yes", 150000, 0)))</f>
      </c>
      <c r="AA99" s="8">
        <f>IF(E99="","",IF(OR(L99&gt;0, E99&lt;&gt;""), 2400, 0))</f>
      </c>
      <c r="AB99" s="7"/>
      <c r="AC99" s="8">
        <f>IF(E99="","",MAX(0, MAX(0, Z99*0.1) + MAX(0, (Z99-24000)*0.15) + MAX(0, (Z99-32333)*0.05) + MAX(0, (Z99-500000)*0.025) + MAX(0, (Z99-800000)*0.025) - AA99 - AB99))</f>
      </c>
      <c r="AD99" s="8">
        <f>IF(E99="","",AC99)</f>
      </c>
    </row>
    <row r="100" spans="1:30" x14ac:dyDescent="0.25">
      <c r="A100" s="6"/>
      <c r="B100" s="6"/>
      <c r="C100" s="6"/>
      <c r="F100" s="6"/>
      <c r="G100" s="6"/>
      <c r="L100" s="7"/>
      <c r="M100" s="7"/>
      <c r="N100" s="7"/>
      <c r="O100" s="7"/>
      <c r="P100" s="7"/>
      <c r="Q100" s="7"/>
      <c r="R100" s="7"/>
      <c r="S100" s="8">
        <f>IF(E100="","",SUM(L100:O100) + Q100 + R100)</f>
      </c>
      <c r="T100" s="8">
        <f>IF(E100="","",S100*0.0275)</f>
      </c>
      <c r="U100" s="8">
        <f>IF(E100="","",IF(S100&gt;0, MIN(S100*0.06, 6480), 0))</f>
      </c>
      <c r="V100" s="7"/>
      <c r="W100" s="7"/>
      <c r="X100" s="7"/>
      <c r="Y100" s="8">
        <f>IF(E100="","",S100*0.015)</f>
      </c>
      <c r="Z100" s="8">
        <f>IF(E100="","",MAX(0, S100 - T100 - U100 - V100 - W100 - X100 - Y100 - IF(J100="Yes", 150000, 0)))</f>
      </c>
      <c r="AA100" s="8">
        <f>IF(E100="","",IF(OR(L100&gt;0, E100&lt;&gt;""), 2400, 0))</f>
      </c>
      <c r="AB100" s="7"/>
      <c r="AC100" s="8">
        <f>IF(E100="","",MAX(0, MAX(0, Z100*0.1) + MAX(0, (Z100-24000)*0.15) + MAX(0, (Z100-32333)*0.05) + MAX(0, (Z100-500000)*0.025) + MAX(0, (Z100-800000)*0.025) - AA100 - AB100))</f>
      </c>
      <c r="AD100" s="8">
        <f>IF(E100="","",AC100)</f>
      </c>
    </row>
    <row r="101" spans="1:30" x14ac:dyDescent="0.25">
      <c r="A101" s="6"/>
      <c r="B101" s="6"/>
      <c r="C101" s="6"/>
      <c r="F101" s="6"/>
      <c r="G101" s="6"/>
      <c r="L101" s="7"/>
      <c r="M101" s="7"/>
      <c r="N101" s="7"/>
      <c r="O101" s="7"/>
      <c r="P101" s="7"/>
      <c r="Q101" s="7"/>
      <c r="R101" s="7"/>
      <c r="S101" s="8">
        <f>IF(E101="","",SUM(L101:O101) + Q101 + R101)</f>
      </c>
      <c r="T101" s="8">
        <f>IF(E101="","",S101*0.0275)</f>
      </c>
      <c r="U101" s="8">
        <f>IF(E101="","",IF(S101&gt;0, MIN(S101*0.06, 6480), 0))</f>
      </c>
      <c r="V101" s="7"/>
      <c r="W101" s="7"/>
      <c r="X101" s="7"/>
      <c r="Y101" s="8">
        <f>IF(E101="","",S101*0.015)</f>
      </c>
      <c r="Z101" s="8">
        <f>IF(E101="","",MAX(0, S101 - T101 - U101 - V101 - W101 - X101 - Y101 - IF(J101="Yes", 150000, 0)))</f>
      </c>
      <c r="AA101" s="8">
        <f>IF(E101="","",IF(OR(L101&gt;0, E101&lt;&gt;""), 2400, 0))</f>
      </c>
      <c r="AB101" s="7"/>
      <c r="AC101" s="8">
        <f>IF(E101="","",MAX(0, MAX(0, Z101*0.1) + MAX(0, (Z101-24000)*0.15) + MAX(0, (Z101-32333)*0.05) + MAX(0, (Z101-500000)*0.025) + MAX(0, (Z101-800000)*0.025) - AA101 - AB101))</f>
      </c>
      <c r="AD101" s="8">
        <f>IF(E101="","",AC101)</f>
      </c>
    </row>
    <row r="102" spans="1:30" x14ac:dyDescent="0.25">
      <c r="A102" s="6"/>
      <c r="B102" s="6"/>
      <c r="C102" s="6"/>
      <c r="F102" s="6"/>
      <c r="G102" s="6"/>
      <c r="L102" s="7"/>
      <c r="M102" s="7"/>
      <c r="N102" s="7"/>
      <c r="O102" s="7"/>
      <c r="P102" s="7"/>
      <c r="Q102" s="7"/>
      <c r="R102" s="7"/>
      <c r="S102" s="8">
        <f>IF(E102="","",SUM(L102:O102) + Q102 + R102)</f>
      </c>
      <c r="T102" s="8">
        <f>IF(E102="","",S102*0.0275)</f>
      </c>
      <c r="U102" s="8">
        <f>IF(E102="","",IF(S102&gt;0, MIN(S102*0.06, 6480), 0))</f>
      </c>
      <c r="V102" s="7"/>
      <c r="W102" s="7"/>
      <c r="X102" s="7"/>
      <c r="Y102" s="8">
        <f>IF(E102="","",S102*0.015)</f>
      </c>
      <c r="Z102" s="8">
        <f>IF(E102="","",MAX(0, S102 - T102 - U102 - V102 - W102 - X102 - Y102 - IF(J102="Yes", 150000, 0)))</f>
      </c>
      <c r="AA102" s="8">
        <f>IF(E102="","",IF(OR(L102&gt;0, E102&lt;&gt;""), 2400, 0))</f>
      </c>
      <c r="AB102" s="7"/>
      <c r="AC102" s="8">
        <f>IF(E102="","",MAX(0, MAX(0, Z102*0.1) + MAX(0, (Z102-24000)*0.15) + MAX(0, (Z102-32333)*0.05) + MAX(0, (Z102-500000)*0.025) + MAX(0, (Z102-800000)*0.025) - AA102 - AB102))</f>
      </c>
      <c r="AD102" s="8">
        <f>IF(E102="","",AC102)</f>
      </c>
    </row>
    <row r="103" spans="1:30" x14ac:dyDescent="0.25">
      <c r="A103" s="6"/>
      <c r="B103" s="6"/>
      <c r="C103" s="6"/>
      <c r="F103" s="6"/>
      <c r="G103" s="6"/>
      <c r="L103" s="7"/>
      <c r="M103" s="7"/>
      <c r="N103" s="7"/>
      <c r="O103" s="7"/>
      <c r="P103" s="7"/>
      <c r="Q103" s="7"/>
      <c r="R103" s="7"/>
      <c r="S103" s="8">
        <f>IF(E103="","",SUM(L103:O103) + Q103 + R103)</f>
      </c>
      <c r="T103" s="8">
        <f>IF(E103="","",S103*0.0275)</f>
      </c>
      <c r="U103" s="8">
        <f>IF(E103="","",IF(S103&gt;0, MIN(S103*0.06, 6480), 0))</f>
      </c>
      <c r="V103" s="7"/>
      <c r="W103" s="7"/>
      <c r="X103" s="7"/>
      <c r="Y103" s="8">
        <f>IF(E103="","",S103*0.015)</f>
      </c>
      <c r="Z103" s="8">
        <f>IF(E103="","",MAX(0, S103 - T103 - U103 - V103 - W103 - X103 - Y103 - IF(J103="Yes", 150000, 0)))</f>
      </c>
      <c r="AA103" s="8">
        <f>IF(E103="","",IF(OR(L103&gt;0, E103&lt;&gt;""), 2400, 0))</f>
      </c>
      <c r="AB103" s="7"/>
      <c r="AC103" s="8">
        <f>IF(E103="","",MAX(0, MAX(0, Z103*0.1) + MAX(0, (Z103-24000)*0.15) + MAX(0, (Z103-32333)*0.05) + MAX(0, (Z103-500000)*0.025) + MAX(0, (Z103-800000)*0.025) - AA103 - AB103))</f>
      </c>
      <c r="AD103" s="8">
        <f>IF(E103="","",AC103)</f>
      </c>
    </row>
    <row r="104" spans="1:30" x14ac:dyDescent="0.25">
      <c r="A104" s="6"/>
      <c r="B104" s="6"/>
      <c r="C104" s="6"/>
      <c r="F104" s="6"/>
      <c r="G104" s="6"/>
      <c r="L104" s="7"/>
      <c r="M104" s="7"/>
      <c r="N104" s="7"/>
      <c r="O104" s="7"/>
      <c r="P104" s="7"/>
      <c r="Q104" s="7"/>
      <c r="R104" s="7"/>
      <c r="S104" s="8">
        <f>IF(E104="","",SUM(L104:O104) + Q104 + R104)</f>
      </c>
      <c r="T104" s="8">
        <f>IF(E104="","",S104*0.0275)</f>
      </c>
      <c r="U104" s="8">
        <f>IF(E104="","",IF(S104&gt;0, MIN(S104*0.06, 6480), 0))</f>
      </c>
      <c r="V104" s="7"/>
      <c r="W104" s="7"/>
      <c r="X104" s="7"/>
      <c r="Y104" s="8">
        <f>IF(E104="","",S104*0.015)</f>
      </c>
      <c r="Z104" s="8">
        <f>IF(E104="","",MAX(0, S104 - T104 - U104 - V104 - W104 - X104 - Y104 - IF(J104="Yes", 150000, 0)))</f>
      </c>
      <c r="AA104" s="8">
        <f>IF(E104="","",IF(OR(L104&gt;0, E104&lt;&gt;""), 2400, 0))</f>
      </c>
      <c r="AB104" s="7"/>
      <c r="AC104" s="8">
        <f>IF(E104="","",MAX(0, MAX(0, Z104*0.1) + MAX(0, (Z104-24000)*0.15) + MAX(0, (Z104-32333)*0.05) + MAX(0, (Z104-500000)*0.025) + MAX(0, (Z104-800000)*0.025) - AA104 - AB104))</f>
      </c>
      <c r="AD104" s="8">
        <f>IF(E104="","",AC104)</f>
      </c>
    </row>
    <row r="105" spans="1:30" x14ac:dyDescent="0.25">
      <c r="A105" s="6"/>
      <c r="B105" s="6"/>
      <c r="C105" s="6"/>
      <c r="F105" s="6"/>
      <c r="G105" s="6"/>
      <c r="L105" s="7"/>
      <c r="M105" s="7"/>
      <c r="N105" s="7"/>
      <c r="O105" s="7"/>
      <c r="P105" s="7"/>
      <c r="Q105" s="7"/>
      <c r="R105" s="7"/>
      <c r="S105" s="8">
        <f>IF(E105="","",SUM(L105:O105) + Q105 + R105)</f>
      </c>
      <c r="T105" s="8">
        <f>IF(E105="","",S105*0.0275)</f>
      </c>
      <c r="U105" s="8">
        <f>IF(E105="","",IF(S105&gt;0, MIN(S105*0.06, 6480), 0))</f>
      </c>
      <c r="V105" s="7"/>
      <c r="W105" s="7"/>
      <c r="X105" s="7"/>
      <c r="Y105" s="8">
        <f>IF(E105="","",S105*0.015)</f>
      </c>
      <c r="Z105" s="8">
        <f>IF(E105="","",MAX(0, S105 - T105 - U105 - V105 - W105 - X105 - Y105 - IF(J105="Yes", 150000, 0)))</f>
      </c>
      <c r="AA105" s="8">
        <f>IF(E105="","",IF(OR(L105&gt;0, E105&lt;&gt;""), 2400, 0))</f>
      </c>
      <c r="AB105" s="7"/>
      <c r="AC105" s="8">
        <f>IF(E105="","",MAX(0, MAX(0, Z105*0.1) + MAX(0, (Z105-24000)*0.15) + MAX(0, (Z105-32333)*0.05) + MAX(0, (Z105-500000)*0.025) + MAX(0, (Z105-800000)*0.025) - AA105 - AB105))</f>
      </c>
      <c r="AD105" s="8">
        <f>IF(E105="","",AC105)</f>
      </c>
    </row>
    <row r="106" spans="1:30" x14ac:dyDescent="0.25">
      <c r="A106" s="6"/>
      <c r="B106" s="6"/>
      <c r="C106" s="6"/>
      <c r="F106" s="6"/>
      <c r="G106" s="6"/>
      <c r="L106" s="7"/>
      <c r="M106" s="7"/>
      <c r="N106" s="7"/>
      <c r="O106" s="7"/>
      <c r="P106" s="7"/>
      <c r="Q106" s="7"/>
      <c r="R106" s="7"/>
      <c r="S106" s="8">
        <f>IF(E106="","",SUM(L106:O106) + Q106 + R106)</f>
      </c>
      <c r="T106" s="8">
        <f>IF(E106="","",S106*0.0275)</f>
      </c>
      <c r="U106" s="8">
        <f>IF(E106="","",IF(S106&gt;0, MIN(S106*0.06, 6480), 0))</f>
      </c>
      <c r="V106" s="7"/>
      <c r="W106" s="7"/>
      <c r="X106" s="7"/>
      <c r="Y106" s="8">
        <f>IF(E106="","",S106*0.015)</f>
      </c>
      <c r="Z106" s="8">
        <f>IF(E106="","",MAX(0, S106 - T106 - U106 - V106 - W106 - X106 - Y106 - IF(J106="Yes", 150000, 0)))</f>
      </c>
      <c r="AA106" s="8">
        <f>IF(E106="","",IF(OR(L106&gt;0, E106&lt;&gt;""), 2400, 0))</f>
      </c>
      <c r="AB106" s="7"/>
      <c r="AC106" s="8">
        <f>IF(E106="","",MAX(0, MAX(0, Z106*0.1) + MAX(0, (Z106-24000)*0.15) + MAX(0, (Z106-32333)*0.05) + MAX(0, (Z106-500000)*0.025) + MAX(0, (Z106-800000)*0.025) - AA106 - AB106))</f>
      </c>
      <c r="AD106" s="8">
        <f>IF(E106="","",AC106)</f>
      </c>
    </row>
    <row r="107" spans="1:30" x14ac:dyDescent="0.25">
      <c r="A107" s="6"/>
      <c r="B107" s="6"/>
      <c r="C107" s="6"/>
      <c r="F107" s="6"/>
      <c r="G107" s="6"/>
      <c r="L107" s="7"/>
      <c r="M107" s="7"/>
      <c r="N107" s="7"/>
      <c r="O107" s="7"/>
      <c r="P107" s="7"/>
      <c r="Q107" s="7"/>
      <c r="R107" s="7"/>
      <c r="S107" s="8">
        <f>IF(E107="","",SUM(L107:O107) + Q107 + R107)</f>
      </c>
      <c r="T107" s="8">
        <f>IF(E107="","",S107*0.0275)</f>
      </c>
      <c r="U107" s="8">
        <f>IF(E107="","",IF(S107&gt;0, MIN(S107*0.06, 6480), 0))</f>
      </c>
      <c r="V107" s="7"/>
      <c r="W107" s="7"/>
      <c r="X107" s="7"/>
      <c r="Y107" s="8">
        <f>IF(E107="","",S107*0.015)</f>
      </c>
      <c r="Z107" s="8">
        <f>IF(E107="","",MAX(0, S107 - T107 - U107 - V107 - W107 - X107 - Y107 - IF(J107="Yes", 150000, 0)))</f>
      </c>
      <c r="AA107" s="8">
        <f>IF(E107="","",IF(OR(L107&gt;0, E107&lt;&gt;""), 2400, 0))</f>
      </c>
      <c r="AB107" s="7"/>
      <c r="AC107" s="8">
        <f>IF(E107="","",MAX(0, MAX(0, Z107*0.1) + MAX(0, (Z107-24000)*0.15) + MAX(0, (Z107-32333)*0.05) + MAX(0, (Z107-500000)*0.025) + MAX(0, (Z107-800000)*0.025) - AA107 - AB107))</f>
      </c>
      <c r="AD107" s="8">
        <f>IF(E107="","",AC107)</f>
      </c>
    </row>
    <row r="108" spans="1:30" x14ac:dyDescent="0.25">
      <c r="A108" s="6"/>
      <c r="B108" s="6"/>
      <c r="C108" s="6"/>
      <c r="F108" s="6"/>
      <c r="G108" s="6"/>
      <c r="L108" s="7"/>
      <c r="M108" s="7"/>
      <c r="N108" s="7"/>
      <c r="O108" s="7"/>
      <c r="P108" s="7"/>
      <c r="Q108" s="7"/>
      <c r="R108" s="7"/>
      <c r="S108" s="8">
        <f>IF(E108="","",SUM(L108:O108) + Q108 + R108)</f>
      </c>
      <c r="T108" s="8">
        <f>IF(E108="","",S108*0.0275)</f>
      </c>
      <c r="U108" s="8">
        <f>IF(E108="","",IF(S108&gt;0, MIN(S108*0.06, 6480), 0))</f>
      </c>
      <c r="V108" s="7"/>
      <c r="W108" s="7"/>
      <c r="X108" s="7"/>
      <c r="Y108" s="8">
        <f>IF(E108="","",S108*0.015)</f>
      </c>
      <c r="Z108" s="8">
        <f>IF(E108="","",MAX(0, S108 - T108 - U108 - V108 - W108 - X108 - Y108 - IF(J108="Yes", 150000, 0)))</f>
      </c>
      <c r="AA108" s="8">
        <f>IF(E108="","",IF(OR(L108&gt;0, E108&lt;&gt;""), 2400, 0))</f>
      </c>
      <c r="AB108" s="7"/>
      <c r="AC108" s="8">
        <f>IF(E108="","",MAX(0, MAX(0, Z108*0.1) + MAX(0, (Z108-24000)*0.15) + MAX(0, (Z108-32333)*0.05) + MAX(0, (Z108-500000)*0.025) + MAX(0, (Z108-800000)*0.025) - AA108 - AB108))</f>
      </c>
      <c r="AD108" s="8">
        <f>IF(E108="","",AC108)</f>
      </c>
    </row>
    <row r="109" spans="1:30" x14ac:dyDescent="0.25">
      <c r="A109" s="6"/>
      <c r="B109" s="6"/>
      <c r="C109" s="6"/>
      <c r="F109" s="6"/>
      <c r="G109" s="6"/>
      <c r="L109" s="7"/>
      <c r="M109" s="7"/>
      <c r="N109" s="7"/>
      <c r="O109" s="7"/>
      <c r="P109" s="7"/>
      <c r="Q109" s="7"/>
      <c r="R109" s="7"/>
      <c r="S109" s="8">
        <f>IF(E109="","",SUM(L109:O109) + Q109 + R109)</f>
      </c>
      <c r="T109" s="8">
        <f>IF(E109="","",S109*0.0275)</f>
      </c>
      <c r="U109" s="8">
        <f>IF(E109="","",IF(S109&gt;0, MIN(S109*0.06, 6480), 0))</f>
      </c>
      <c r="V109" s="7"/>
      <c r="W109" s="7"/>
      <c r="X109" s="7"/>
      <c r="Y109" s="8">
        <f>IF(E109="","",S109*0.015)</f>
      </c>
      <c r="Z109" s="8">
        <f>IF(E109="","",MAX(0, S109 - T109 - U109 - V109 - W109 - X109 - Y109 - IF(J109="Yes", 150000, 0)))</f>
      </c>
      <c r="AA109" s="8">
        <f>IF(E109="","",IF(OR(L109&gt;0, E109&lt;&gt;""), 2400, 0))</f>
      </c>
      <c r="AB109" s="7"/>
      <c r="AC109" s="8">
        <f>IF(E109="","",MAX(0, MAX(0, Z109*0.1) + MAX(0, (Z109-24000)*0.15) + MAX(0, (Z109-32333)*0.05) + MAX(0, (Z109-500000)*0.025) + MAX(0, (Z109-800000)*0.025) - AA109 - AB109))</f>
      </c>
      <c r="AD109" s="8">
        <f>IF(E109="","",AC109)</f>
      </c>
    </row>
    <row r="110" spans="1:30" x14ac:dyDescent="0.25">
      <c r="A110" s="6"/>
      <c r="B110" s="6"/>
      <c r="C110" s="6"/>
      <c r="F110" s="6"/>
      <c r="G110" s="6"/>
      <c r="L110" s="7"/>
      <c r="M110" s="7"/>
      <c r="N110" s="7"/>
      <c r="O110" s="7"/>
      <c r="P110" s="7"/>
      <c r="Q110" s="7"/>
      <c r="R110" s="7"/>
      <c r="S110" s="8">
        <f>IF(E110="","",SUM(L110:O110) + Q110 + R110)</f>
      </c>
      <c r="T110" s="8">
        <f>IF(E110="","",S110*0.0275)</f>
      </c>
      <c r="U110" s="8">
        <f>IF(E110="","",IF(S110&gt;0, MIN(S110*0.06, 6480), 0))</f>
      </c>
      <c r="V110" s="7"/>
      <c r="W110" s="7"/>
      <c r="X110" s="7"/>
      <c r="Y110" s="8">
        <f>IF(E110="","",S110*0.015)</f>
      </c>
      <c r="Z110" s="8">
        <f>IF(E110="","",MAX(0, S110 - T110 - U110 - V110 - W110 - X110 - Y110 - IF(J110="Yes", 150000, 0)))</f>
      </c>
      <c r="AA110" s="8">
        <f>IF(E110="","",IF(OR(L110&gt;0, E110&lt;&gt;""), 2400, 0))</f>
      </c>
      <c r="AB110" s="7"/>
      <c r="AC110" s="8">
        <f>IF(E110="","",MAX(0, MAX(0, Z110*0.1) + MAX(0, (Z110-24000)*0.15) + MAX(0, (Z110-32333)*0.05) + MAX(0, (Z110-500000)*0.025) + MAX(0, (Z110-800000)*0.025) - AA110 - AB110))</f>
      </c>
      <c r="AD110" s="8">
        <f>IF(E110="","",AC110)</f>
      </c>
    </row>
    <row r="111" spans="1:30" x14ac:dyDescent="0.25">
      <c r="A111" s="6"/>
      <c r="B111" s="6"/>
      <c r="C111" s="6"/>
      <c r="F111" s="6"/>
      <c r="G111" s="6"/>
      <c r="L111" s="7"/>
      <c r="M111" s="7"/>
      <c r="N111" s="7"/>
      <c r="O111" s="7"/>
      <c r="P111" s="7"/>
      <c r="Q111" s="7"/>
      <c r="R111" s="7"/>
      <c r="S111" s="8">
        <f>IF(E111="","",SUM(L111:O111) + Q111 + R111)</f>
      </c>
      <c r="T111" s="8">
        <f>IF(E111="","",S111*0.0275)</f>
      </c>
      <c r="U111" s="8">
        <f>IF(E111="","",IF(S111&gt;0, MIN(S111*0.06, 6480), 0))</f>
      </c>
      <c r="V111" s="7"/>
      <c r="W111" s="7"/>
      <c r="X111" s="7"/>
      <c r="Y111" s="8">
        <f>IF(E111="","",S111*0.015)</f>
      </c>
      <c r="Z111" s="8">
        <f>IF(E111="","",MAX(0, S111 - T111 - U111 - V111 - W111 - X111 - Y111 - IF(J111="Yes", 150000, 0)))</f>
      </c>
      <c r="AA111" s="8">
        <f>IF(E111="","",IF(OR(L111&gt;0, E111&lt;&gt;""), 2400, 0))</f>
      </c>
      <c r="AB111" s="7"/>
      <c r="AC111" s="8">
        <f>IF(E111="","",MAX(0, MAX(0, Z111*0.1) + MAX(0, (Z111-24000)*0.15) + MAX(0, (Z111-32333)*0.05) + MAX(0, (Z111-500000)*0.025) + MAX(0, (Z111-800000)*0.025) - AA111 - AB111))</f>
      </c>
      <c r="AD111" s="8">
        <f>IF(E111="","",AC111)</f>
      </c>
    </row>
    <row r="112" spans="1:30" x14ac:dyDescent="0.25">
      <c r="A112" s="6"/>
      <c r="B112" s="6"/>
      <c r="C112" s="6"/>
      <c r="F112" s="6"/>
      <c r="G112" s="6"/>
      <c r="L112" s="7"/>
      <c r="M112" s="7"/>
      <c r="N112" s="7"/>
      <c r="O112" s="7"/>
      <c r="P112" s="7"/>
      <c r="Q112" s="7"/>
      <c r="R112" s="7"/>
      <c r="S112" s="8">
        <f>IF(E112="","",SUM(L112:O112) + Q112 + R112)</f>
      </c>
      <c r="T112" s="8">
        <f>IF(E112="","",S112*0.0275)</f>
      </c>
      <c r="U112" s="8">
        <f>IF(E112="","",IF(S112&gt;0, MIN(S112*0.06, 6480), 0))</f>
      </c>
      <c r="V112" s="7"/>
      <c r="W112" s="7"/>
      <c r="X112" s="7"/>
      <c r="Y112" s="8">
        <f>IF(E112="","",S112*0.015)</f>
      </c>
      <c r="Z112" s="8">
        <f>IF(E112="","",MAX(0, S112 - T112 - U112 - V112 - W112 - X112 - Y112 - IF(J112="Yes", 150000, 0)))</f>
      </c>
      <c r="AA112" s="8">
        <f>IF(E112="","",IF(OR(L112&gt;0, E112&lt;&gt;""), 2400, 0))</f>
      </c>
      <c r="AB112" s="7"/>
      <c r="AC112" s="8">
        <f>IF(E112="","",MAX(0, MAX(0, Z112*0.1) + MAX(0, (Z112-24000)*0.15) + MAX(0, (Z112-32333)*0.05) + MAX(0, (Z112-500000)*0.025) + MAX(0, (Z112-800000)*0.025) - AA112 - AB112))</f>
      </c>
      <c r="AD112" s="8">
        <f>IF(E112="","",AC112)</f>
      </c>
    </row>
    <row r="113" spans="1:30" x14ac:dyDescent="0.25">
      <c r="A113" s="6"/>
      <c r="B113" s="6"/>
      <c r="C113" s="6"/>
      <c r="F113" s="6"/>
      <c r="G113" s="6"/>
      <c r="L113" s="7"/>
      <c r="M113" s="7"/>
      <c r="N113" s="7"/>
      <c r="O113" s="7"/>
      <c r="P113" s="7"/>
      <c r="Q113" s="7"/>
      <c r="R113" s="7"/>
      <c r="S113" s="8">
        <f>IF(E113="","",SUM(L113:O113) + Q113 + R113)</f>
      </c>
      <c r="T113" s="8">
        <f>IF(E113="","",S113*0.0275)</f>
      </c>
      <c r="U113" s="8">
        <f>IF(E113="","",IF(S113&gt;0, MIN(S113*0.06, 6480), 0))</f>
      </c>
      <c r="V113" s="7"/>
      <c r="W113" s="7"/>
      <c r="X113" s="7"/>
      <c r="Y113" s="8">
        <f>IF(E113="","",S113*0.015)</f>
      </c>
      <c r="Z113" s="8">
        <f>IF(E113="","",MAX(0, S113 - T113 - U113 - V113 - W113 - X113 - Y113 - IF(J113="Yes", 150000, 0)))</f>
      </c>
      <c r="AA113" s="8">
        <f>IF(E113="","",IF(OR(L113&gt;0, E113&lt;&gt;""), 2400, 0))</f>
      </c>
      <c r="AB113" s="7"/>
      <c r="AC113" s="8">
        <f>IF(E113="","",MAX(0, MAX(0, Z113*0.1) + MAX(0, (Z113-24000)*0.15) + MAX(0, (Z113-32333)*0.05) + MAX(0, (Z113-500000)*0.025) + MAX(0, (Z113-800000)*0.025) - AA113 - AB113))</f>
      </c>
      <c r="AD113" s="8">
        <f>IF(E113="","",AC113)</f>
      </c>
    </row>
    <row r="114" spans="1:30" x14ac:dyDescent="0.25">
      <c r="A114" s="6"/>
      <c r="B114" s="6"/>
      <c r="C114" s="6"/>
      <c r="F114" s="6"/>
      <c r="G114" s="6"/>
      <c r="L114" s="7"/>
      <c r="M114" s="7"/>
      <c r="N114" s="7"/>
      <c r="O114" s="7"/>
      <c r="P114" s="7"/>
      <c r="Q114" s="7"/>
      <c r="R114" s="7"/>
      <c r="S114" s="8">
        <f>IF(E114="","",SUM(L114:O114) + Q114 + R114)</f>
      </c>
      <c r="T114" s="8">
        <f>IF(E114="","",S114*0.0275)</f>
      </c>
      <c r="U114" s="8">
        <f>IF(E114="","",IF(S114&gt;0, MIN(S114*0.06, 6480), 0))</f>
      </c>
      <c r="V114" s="7"/>
      <c r="W114" s="7"/>
      <c r="X114" s="7"/>
      <c r="Y114" s="8">
        <f>IF(E114="","",S114*0.015)</f>
      </c>
      <c r="Z114" s="8">
        <f>IF(E114="","",MAX(0, S114 - T114 - U114 - V114 - W114 - X114 - Y114 - IF(J114="Yes", 150000, 0)))</f>
      </c>
      <c r="AA114" s="8">
        <f>IF(E114="","",IF(OR(L114&gt;0, E114&lt;&gt;""), 2400, 0))</f>
      </c>
      <c r="AB114" s="7"/>
      <c r="AC114" s="8">
        <f>IF(E114="","",MAX(0, MAX(0, Z114*0.1) + MAX(0, (Z114-24000)*0.15) + MAX(0, (Z114-32333)*0.05) + MAX(0, (Z114-500000)*0.025) + MAX(0, (Z114-800000)*0.025) - AA114 - AB114))</f>
      </c>
      <c r="AD114" s="8">
        <f>IF(E114="","",AC114)</f>
      </c>
    </row>
    <row r="115" spans="1:30" x14ac:dyDescent="0.25">
      <c r="A115" s="6"/>
      <c r="B115" s="6"/>
      <c r="C115" s="6"/>
      <c r="F115" s="6"/>
      <c r="G115" s="6"/>
      <c r="L115" s="7"/>
      <c r="M115" s="7"/>
      <c r="N115" s="7"/>
      <c r="O115" s="7"/>
      <c r="P115" s="7"/>
      <c r="Q115" s="7"/>
      <c r="R115" s="7"/>
      <c r="S115" s="8">
        <f>IF(E115="","",SUM(L115:O115) + Q115 + R115)</f>
      </c>
      <c r="T115" s="8">
        <f>IF(E115="","",S115*0.0275)</f>
      </c>
      <c r="U115" s="8">
        <f>IF(E115="","",IF(S115&gt;0, MIN(S115*0.06, 6480), 0))</f>
      </c>
      <c r="V115" s="7"/>
      <c r="W115" s="7"/>
      <c r="X115" s="7"/>
      <c r="Y115" s="8">
        <f>IF(E115="","",S115*0.015)</f>
      </c>
      <c r="Z115" s="8">
        <f>IF(E115="","",MAX(0, S115 - T115 - U115 - V115 - W115 - X115 - Y115 - IF(J115="Yes", 150000, 0)))</f>
      </c>
      <c r="AA115" s="8">
        <f>IF(E115="","",IF(OR(L115&gt;0, E115&lt;&gt;""), 2400, 0))</f>
      </c>
      <c r="AB115" s="7"/>
      <c r="AC115" s="8">
        <f>IF(E115="","",MAX(0, MAX(0, Z115*0.1) + MAX(0, (Z115-24000)*0.15) + MAX(0, (Z115-32333)*0.05) + MAX(0, (Z115-500000)*0.025) + MAX(0, (Z115-800000)*0.025) - AA115 - AB115))</f>
      </c>
      <c r="AD115" s="8">
        <f>IF(E115="","",AC115)</f>
      </c>
    </row>
    <row r="116" spans="1:30" x14ac:dyDescent="0.25">
      <c r="A116" s="6"/>
      <c r="B116" s="6"/>
      <c r="C116" s="6"/>
      <c r="F116" s="6"/>
      <c r="G116" s="6"/>
      <c r="L116" s="7"/>
      <c r="M116" s="7"/>
      <c r="N116" s="7"/>
      <c r="O116" s="7"/>
      <c r="P116" s="7"/>
      <c r="Q116" s="7"/>
      <c r="R116" s="7"/>
      <c r="S116" s="8">
        <f>IF(E116="","",SUM(L116:O116) + Q116 + R116)</f>
      </c>
      <c r="T116" s="8">
        <f>IF(E116="","",S116*0.0275)</f>
      </c>
      <c r="U116" s="8">
        <f>IF(E116="","",IF(S116&gt;0, MIN(S116*0.06, 6480), 0))</f>
      </c>
      <c r="V116" s="7"/>
      <c r="W116" s="7"/>
      <c r="X116" s="7"/>
      <c r="Y116" s="8">
        <f>IF(E116="","",S116*0.015)</f>
      </c>
      <c r="Z116" s="8">
        <f>IF(E116="","",MAX(0, S116 - T116 - U116 - V116 - W116 - X116 - Y116 - IF(J116="Yes", 150000, 0)))</f>
      </c>
      <c r="AA116" s="8">
        <f>IF(E116="","",IF(OR(L116&gt;0, E116&lt;&gt;""), 2400, 0))</f>
      </c>
      <c r="AB116" s="7"/>
      <c r="AC116" s="8">
        <f>IF(E116="","",MAX(0, MAX(0, Z116*0.1) + MAX(0, (Z116-24000)*0.15) + MAX(0, (Z116-32333)*0.05) + MAX(0, (Z116-500000)*0.025) + MAX(0, (Z116-800000)*0.025) - AA116 - AB116))</f>
      </c>
      <c r="AD116" s="8">
        <f>IF(E116="","",AC116)</f>
      </c>
    </row>
    <row r="117" spans="1:30" x14ac:dyDescent="0.25">
      <c r="A117" s="6"/>
      <c r="B117" s="6"/>
      <c r="C117" s="6"/>
      <c r="F117" s="6"/>
      <c r="G117" s="6"/>
      <c r="L117" s="7"/>
      <c r="M117" s="7"/>
      <c r="N117" s="7"/>
      <c r="O117" s="7"/>
      <c r="P117" s="7"/>
      <c r="Q117" s="7"/>
      <c r="R117" s="7"/>
      <c r="S117" s="8">
        <f>IF(E117="","",SUM(L117:O117) + Q117 + R117)</f>
      </c>
      <c r="T117" s="8">
        <f>IF(E117="","",S117*0.0275)</f>
      </c>
      <c r="U117" s="8">
        <f>IF(E117="","",IF(S117&gt;0, MIN(S117*0.06, 6480), 0))</f>
      </c>
      <c r="V117" s="7"/>
      <c r="W117" s="7"/>
      <c r="X117" s="7"/>
      <c r="Y117" s="8">
        <f>IF(E117="","",S117*0.015)</f>
      </c>
      <c r="Z117" s="8">
        <f>IF(E117="","",MAX(0, S117 - T117 - U117 - V117 - W117 - X117 - Y117 - IF(J117="Yes", 150000, 0)))</f>
      </c>
      <c r="AA117" s="8">
        <f>IF(E117="","",IF(OR(L117&gt;0, E117&lt;&gt;""), 2400, 0))</f>
      </c>
      <c r="AB117" s="7"/>
      <c r="AC117" s="8">
        <f>IF(E117="","",MAX(0, MAX(0, Z117*0.1) + MAX(0, (Z117-24000)*0.15) + MAX(0, (Z117-32333)*0.05) + MAX(0, (Z117-500000)*0.025) + MAX(0, (Z117-800000)*0.025) - AA117 - AB117))</f>
      </c>
      <c r="AD117" s="8">
        <f>IF(E117="","",AC117)</f>
      </c>
    </row>
    <row r="118" spans="1:30" x14ac:dyDescent="0.25">
      <c r="A118" s="6"/>
      <c r="B118" s="6"/>
      <c r="C118" s="6"/>
      <c r="F118" s="6"/>
      <c r="G118" s="6"/>
      <c r="L118" s="7"/>
      <c r="M118" s="7"/>
      <c r="N118" s="7"/>
      <c r="O118" s="7"/>
      <c r="P118" s="7"/>
      <c r="Q118" s="7"/>
      <c r="R118" s="7"/>
      <c r="S118" s="8">
        <f>IF(E118="","",SUM(L118:O118) + Q118 + R118)</f>
      </c>
      <c r="T118" s="8">
        <f>IF(E118="","",S118*0.0275)</f>
      </c>
      <c r="U118" s="8">
        <f>IF(E118="","",IF(S118&gt;0, MIN(S118*0.06, 6480), 0))</f>
      </c>
      <c r="V118" s="7"/>
      <c r="W118" s="7"/>
      <c r="X118" s="7"/>
      <c r="Y118" s="8">
        <f>IF(E118="","",S118*0.015)</f>
      </c>
      <c r="Z118" s="8">
        <f>IF(E118="","",MAX(0, S118 - T118 - U118 - V118 - W118 - X118 - Y118 - IF(J118="Yes", 150000, 0)))</f>
      </c>
      <c r="AA118" s="8">
        <f>IF(E118="","",IF(OR(L118&gt;0, E118&lt;&gt;""), 2400, 0))</f>
      </c>
      <c r="AB118" s="7"/>
      <c r="AC118" s="8">
        <f>IF(E118="","",MAX(0, MAX(0, Z118*0.1) + MAX(0, (Z118-24000)*0.15) + MAX(0, (Z118-32333)*0.05) + MAX(0, (Z118-500000)*0.025) + MAX(0, (Z118-800000)*0.025) - AA118 - AB118))</f>
      </c>
      <c r="AD118" s="8">
        <f>IF(E118="","",AC118)</f>
      </c>
    </row>
    <row r="119" spans="1:30" x14ac:dyDescent="0.25">
      <c r="A119" s="6"/>
      <c r="B119" s="6"/>
      <c r="C119" s="6"/>
      <c r="F119" s="6"/>
      <c r="G119" s="6"/>
      <c r="L119" s="7"/>
      <c r="M119" s="7"/>
      <c r="N119" s="7"/>
      <c r="O119" s="7"/>
      <c r="P119" s="7"/>
      <c r="Q119" s="7"/>
      <c r="R119" s="7"/>
      <c r="S119" s="8">
        <f>IF(E119="","",SUM(L119:O119) + Q119 + R119)</f>
      </c>
      <c r="T119" s="8">
        <f>IF(E119="","",S119*0.0275)</f>
      </c>
      <c r="U119" s="8">
        <f>IF(E119="","",IF(S119&gt;0, MIN(S119*0.06, 6480), 0))</f>
      </c>
      <c r="V119" s="7"/>
      <c r="W119" s="7"/>
      <c r="X119" s="7"/>
      <c r="Y119" s="8">
        <f>IF(E119="","",S119*0.015)</f>
      </c>
      <c r="Z119" s="8">
        <f>IF(E119="","",MAX(0, S119 - T119 - U119 - V119 - W119 - X119 - Y119 - IF(J119="Yes", 150000, 0)))</f>
      </c>
      <c r="AA119" s="8">
        <f>IF(E119="","",IF(OR(L119&gt;0, E119&lt;&gt;""), 2400, 0))</f>
      </c>
      <c r="AB119" s="7"/>
      <c r="AC119" s="8">
        <f>IF(E119="","",MAX(0, MAX(0, Z119*0.1) + MAX(0, (Z119-24000)*0.15) + MAX(0, (Z119-32333)*0.05) + MAX(0, (Z119-500000)*0.025) + MAX(0, (Z119-800000)*0.025) - AA119 - AB119))</f>
      </c>
      <c r="AD119" s="8">
        <f>IF(E119="","",AC119)</f>
      </c>
    </row>
    <row r="120" spans="1:30" x14ac:dyDescent="0.25">
      <c r="A120" s="6"/>
      <c r="B120" s="6"/>
      <c r="C120" s="6"/>
      <c r="F120" s="6"/>
      <c r="G120" s="6"/>
      <c r="L120" s="7"/>
      <c r="M120" s="7"/>
      <c r="N120" s="7"/>
      <c r="O120" s="7"/>
      <c r="P120" s="7"/>
      <c r="Q120" s="7"/>
      <c r="R120" s="7"/>
      <c r="S120" s="8">
        <f>IF(E120="","",SUM(L120:O120) + Q120 + R120)</f>
      </c>
      <c r="T120" s="8">
        <f>IF(E120="","",S120*0.0275)</f>
      </c>
      <c r="U120" s="8">
        <f>IF(E120="","",IF(S120&gt;0, MIN(S120*0.06, 6480), 0))</f>
      </c>
      <c r="V120" s="7"/>
      <c r="W120" s="7"/>
      <c r="X120" s="7"/>
      <c r="Y120" s="8">
        <f>IF(E120="","",S120*0.015)</f>
      </c>
      <c r="Z120" s="8">
        <f>IF(E120="","",MAX(0, S120 - T120 - U120 - V120 - W120 - X120 - Y120 - IF(J120="Yes", 150000, 0)))</f>
      </c>
      <c r="AA120" s="8">
        <f>IF(E120="","",IF(OR(L120&gt;0, E120&lt;&gt;""), 2400, 0))</f>
      </c>
      <c r="AB120" s="7"/>
      <c r="AC120" s="8">
        <f>IF(E120="","",MAX(0, MAX(0, Z120*0.1) + MAX(0, (Z120-24000)*0.15) + MAX(0, (Z120-32333)*0.05) + MAX(0, (Z120-500000)*0.025) + MAX(0, (Z120-800000)*0.025) - AA120 - AB120))</f>
      </c>
      <c r="AD120" s="8">
        <f>IF(E120="","",AC120)</f>
      </c>
    </row>
    <row r="121" spans="1:30" x14ac:dyDescent="0.25">
      <c r="A121" s="6"/>
      <c r="B121" s="6"/>
      <c r="C121" s="6"/>
      <c r="F121" s="6"/>
      <c r="G121" s="6"/>
      <c r="L121" s="7"/>
      <c r="M121" s="7"/>
      <c r="N121" s="7"/>
      <c r="O121" s="7"/>
      <c r="P121" s="7"/>
      <c r="Q121" s="7"/>
      <c r="R121" s="7"/>
      <c r="S121" s="8">
        <f>IF(E121="","",SUM(L121:O121) + Q121 + R121)</f>
      </c>
      <c r="T121" s="8">
        <f>IF(E121="","",S121*0.0275)</f>
      </c>
      <c r="U121" s="8">
        <f>IF(E121="","",IF(S121&gt;0, MIN(S121*0.06, 6480), 0))</f>
      </c>
      <c r="V121" s="7"/>
      <c r="W121" s="7"/>
      <c r="X121" s="7"/>
      <c r="Y121" s="8">
        <f>IF(E121="","",S121*0.015)</f>
      </c>
      <c r="Z121" s="8">
        <f>IF(E121="","",MAX(0, S121 - T121 - U121 - V121 - W121 - X121 - Y121 - IF(J121="Yes", 150000, 0)))</f>
      </c>
      <c r="AA121" s="8">
        <f>IF(E121="","",IF(OR(L121&gt;0, E121&lt;&gt;""), 2400, 0))</f>
      </c>
      <c r="AB121" s="7"/>
      <c r="AC121" s="8">
        <f>IF(E121="","",MAX(0, MAX(0, Z121*0.1) + MAX(0, (Z121-24000)*0.15) + MAX(0, (Z121-32333)*0.05) + MAX(0, (Z121-500000)*0.025) + MAX(0, (Z121-800000)*0.025) - AA121 - AB121))</f>
      </c>
      <c r="AD121" s="8">
        <f>IF(E121="","",AC121)</f>
      </c>
    </row>
    <row r="122" spans="1:30" x14ac:dyDescent="0.25">
      <c r="A122" s="6"/>
      <c r="B122" s="6"/>
      <c r="C122" s="6"/>
      <c r="F122" s="6"/>
      <c r="G122" s="6"/>
      <c r="L122" s="7"/>
      <c r="M122" s="7"/>
      <c r="N122" s="7"/>
      <c r="O122" s="7"/>
      <c r="P122" s="7"/>
      <c r="Q122" s="7"/>
      <c r="R122" s="7"/>
      <c r="S122" s="8">
        <f>IF(E122="","",SUM(L122:O122) + Q122 + R122)</f>
      </c>
      <c r="T122" s="8">
        <f>IF(E122="","",S122*0.0275)</f>
      </c>
      <c r="U122" s="8">
        <f>IF(E122="","",IF(S122&gt;0, MIN(S122*0.06, 6480), 0))</f>
      </c>
      <c r="V122" s="7"/>
      <c r="W122" s="7"/>
      <c r="X122" s="7"/>
      <c r="Y122" s="8">
        <f>IF(E122="","",S122*0.015)</f>
      </c>
      <c r="Z122" s="8">
        <f>IF(E122="","",MAX(0, S122 - T122 - U122 - V122 - W122 - X122 - Y122 - IF(J122="Yes", 150000, 0)))</f>
      </c>
      <c r="AA122" s="8">
        <f>IF(E122="","",IF(OR(L122&gt;0, E122&lt;&gt;""), 2400, 0))</f>
      </c>
      <c r="AB122" s="7"/>
      <c r="AC122" s="8">
        <f>IF(E122="","",MAX(0, MAX(0, Z122*0.1) + MAX(0, (Z122-24000)*0.15) + MAX(0, (Z122-32333)*0.05) + MAX(0, (Z122-500000)*0.025) + MAX(0, (Z122-800000)*0.025) - AA122 - AB122))</f>
      </c>
      <c r="AD122" s="8">
        <f>IF(E122="","",AC122)</f>
      </c>
    </row>
    <row r="123" spans="1:30" x14ac:dyDescent="0.25">
      <c r="A123" s="6"/>
      <c r="B123" s="6"/>
      <c r="C123" s="6"/>
      <c r="F123" s="6"/>
      <c r="G123" s="6"/>
      <c r="L123" s="7"/>
      <c r="M123" s="7"/>
      <c r="N123" s="7"/>
      <c r="O123" s="7"/>
      <c r="P123" s="7"/>
      <c r="Q123" s="7"/>
      <c r="R123" s="7"/>
      <c r="S123" s="8">
        <f>IF(E123="","",SUM(L123:O123) + Q123 + R123)</f>
      </c>
      <c r="T123" s="8">
        <f>IF(E123="","",S123*0.0275)</f>
      </c>
      <c r="U123" s="8">
        <f>IF(E123="","",IF(S123&gt;0, MIN(S123*0.06, 6480), 0))</f>
      </c>
      <c r="V123" s="7"/>
      <c r="W123" s="7"/>
      <c r="X123" s="7"/>
      <c r="Y123" s="8">
        <f>IF(E123="","",S123*0.015)</f>
      </c>
      <c r="Z123" s="8">
        <f>IF(E123="","",MAX(0, S123 - T123 - U123 - V123 - W123 - X123 - Y123 - IF(J123="Yes", 150000, 0)))</f>
      </c>
      <c r="AA123" s="8">
        <f>IF(E123="","",IF(OR(L123&gt;0, E123&lt;&gt;""), 2400, 0))</f>
      </c>
      <c r="AB123" s="7"/>
      <c r="AC123" s="8">
        <f>IF(E123="","",MAX(0, MAX(0, Z123*0.1) + MAX(0, (Z123-24000)*0.15) + MAX(0, (Z123-32333)*0.05) + MAX(0, (Z123-500000)*0.025) + MAX(0, (Z123-800000)*0.025) - AA123 - AB123))</f>
      </c>
      <c r="AD123" s="8">
        <f>IF(E123="","",AC123)</f>
      </c>
    </row>
    <row r="124" spans="1:30" x14ac:dyDescent="0.25">
      <c r="A124" s="6"/>
      <c r="B124" s="6"/>
      <c r="C124" s="6"/>
      <c r="F124" s="6"/>
      <c r="G124" s="6"/>
      <c r="L124" s="7"/>
      <c r="M124" s="7"/>
      <c r="N124" s="7"/>
      <c r="O124" s="7"/>
      <c r="P124" s="7"/>
      <c r="Q124" s="7"/>
      <c r="R124" s="7"/>
      <c r="S124" s="8">
        <f>IF(E124="","",SUM(L124:O124) + Q124 + R124)</f>
      </c>
      <c r="T124" s="8">
        <f>IF(E124="","",S124*0.0275)</f>
      </c>
      <c r="U124" s="8">
        <f>IF(E124="","",IF(S124&gt;0, MIN(S124*0.06, 6480), 0))</f>
      </c>
      <c r="V124" s="7"/>
      <c r="W124" s="7"/>
      <c r="X124" s="7"/>
      <c r="Y124" s="8">
        <f>IF(E124="","",S124*0.015)</f>
      </c>
      <c r="Z124" s="8">
        <f>IF(E124="","",MAX(0, S124 - T124 - U124 - V124 - W124 - X124 - Y124 - IF(J124="Yes", 150000, 0)))</f>
      </c>
      <c r="AA124" s="8">
        <f>IF(E124="","",IF(OR(L124&gt;0, E124&lt;&gt;""), 2400, 0))</f>
      </c>
      <c r="AB124" s="7"/>
      <c r="AC124" s="8">
        <f>IF(E124="","",MAX(0, MAX(0, Z124*0.1) + MAX(0, (Z124-24000)*0.15) + MAX(0, (Z124-32333)*0.05) + MAX(0, (Z124-500000)*0.025) + MAX(0, (Z124-800000)*0.025) - AA124 - AB124))</f>
      </c>
      <c r="AD124" s="8">
        <f>IF(E124="","",AC124)</f>
      </c>
    </row>
    <row r="125" spans="1:30" x14ac:dyDescent="0.25">
      <c r="A125" s="6"/>
      <c r="B125" s="6"/>
      <c r="C125" s="6"/>
      <c r="F125" s="6"/>
      <c r="G125" s="6"/>
      <c r="L125" s="7"/>
      <c r="M125" s="7"/>
      <c r="N125" s="7"/>
      <c r="O125" s="7"/>
      <c r="P125" s="7"/>
      <c r="Q125" s="7"/>
      <c r="R125" s="7"/>
      <c r="S125" s="8">
        <f>IF(E125="","",SUM(L125:O125) + Q125 + R125)</f>
      </c>
      <c r="T125" s="8">
        <f>IF(E125="","",S125*0.0275)</f>
      </c>
      <c r="U125" s="8">
        <f>IF(E125="","",IF(S125&gt;0, MIN(S125*0.06, 6480), 0))</f>
      </c>
      <c r="V125" s="7"/>
      <c r="W125" s="7"/>
      <c r="X125" s="7"/>
      <c r="Y125" s="8">
        <f>IF(E125="","",S125*0.015)</f>
      </c>
      <c r="Z125" s="8">
        <f>IF(E125="","",MAX(0, S125 - T125 - U125 - V125 - W125 - X125 - Y125 - IF(J125="Yes", 150000, 0)))</f>
      </c>
      <c r="AA125" s="8">
        <f>IF(E125="","",IF(OR(L125&gt;0, E125&lt;&gt;""), 2400, 0))</f>
      </c>
      <c r="AB125" s="7"/>
      <c r="AC125" s="8">
        <f>IF(E125="","",MAX(0, MAX(0, Z125*0.1) + MAX(0, (Z125-24000)*0.15) + MAX(0, (Z125-32333)*0.05) + MAX(0, (Z125-500000)*0.025) + MAX(0, (Z125-800000)*0.025) - AA125 - AB125))</f>
      </c>
      <c r="AD125" s="8">
        <f>IF(E125="","",AC125)</f>
      </c>
    </row>
    <row r="126" spans="1:30" x14ac:dyDescent="0.25">
      <c r="A126" s="6"/>
      <c r="B126" s="6"/>
      <c r="C126" s="6"/>
      <c r="F126" s="6"/>
      <c r="G126" s="6"/>
      <c r="L126" s="7"/>
      <c r="M126" s="7"/>
      <c r="N126" s="7"/>
      <c r="O126" s="7"/>
      <c r="P126" s="7"/>
      <c r="Q126" s="7"/>
      <c r="R126" s="7"/>
      <c r="S126" s="8">
        <f>IF(E126="","",SUM(L126:O126) + Q126 + R126)</f>
      </c>
      <c r="T126" s="8">
        <f>IF(E126="","",S126*0.0275)</f>
      </c>
      <c r="U126" s="8">
        <f>IF(E126="","",IF(S126&gt;0, MIN(S126*0.06, 6480), 0))</f>
      </c>
      <c r="V126" s="7"/>
      <c r="W126" s="7"/>
      <c r="X126" s="7"/>
      <c r="Y126" s="8">
        <f>IF(E126="","",S126*0.015)</f>
      </c>
      <c r="Z126" s="8">
        <f>IF(E126="","",MAX(0, S126 - T126 - U126 - V126 - W126 - X126 - Y126 - IF(J126="Yes", 150000, 0)))</f>
      </c>
      <c r="AA126" s="8">
        <f>IF(E126="","",IF(OR(L126&gt;0, E126&lt;&gt;""), 2400, 0))</f>
      </c>
      <c r="AB126" s="7"/>
      <c r="AC126" s="8">
        <f>IF(E126="","",MAX(0, MAX(0, Z126*0.1) + MAX(0, (Z126-24000)*0.15) + MAX(0, (Z126-32333)*0.05) + MAX(0, (Z126-500000)*0.025) + MAX(0, (Z126-800000)*0.025) - AA126 - AB126))</f>
      </c>
      <c r="AD126" s="8">
        <f>IF(E126="","",AC126)</f>
      </c>
    </row>
    <row r="127" spans="1:30" x14ac:dyDescent="0.25">
      <c r="A127" s="6"/>
      <c r="B127" s="6"/>
      <c r="C127" s="6"/>
      <c r="F127" s="6"/>
      <c r="G127" s="6"/>
      <c r="L127" s="7"/>
      <c r="M127" s="7"/>
      <c r="N127" s="7"/>
      <c r="O127" s="7"/>
      <c r="P127" s="7"/>
      <c r="Q127" s="7"/>
      <c r="R127" s="7"/>
      <c r="S127" s="8">
        <f>IF(E127="","",SUM(L127:O127) + Q127 + R127)</f>
      </c>
      <c r="T127" s="8">
        <f>IF(E127="","",S127*0.0275)</f>
      </c>
      <c r="U127" s="8">
        <f>IF(E127="","",IF(S127&gt;0, MIN(S127*0.06, 6480), 0))</f>
      </c>
      <c r="V127" s="7"/>
      <c r="W127" s="7"/>
      <c r="X127" s="7"/>
      <c r="Y127" s="8">
        <f>IF(E127="","",S127*0.015)</f>
      </c>
      <c r="Z127" s="8">
        <f>IF(E127="","",MAX(0, S127 - T127 - U127 - V127 - W127 - X127 - Y127 - IF(J127="Yes", 150000, 0)))</f>
      </c>
      <c r="AA127" s="8">
        <f>IF(E127="","",IF(OR(L127&gt;0, E127&lt;&gt;""), 2400, 0))</f>
      </c>
      <c r="AB127" s="7"/>
      <c r="AC127" s="8">
        <f>IF(E127="","",MAX(0, MAX(0, Z127*0.1) + MAX(0, (Z127-24000)*0.15) + MAX(0, (Z127-32333)*0.05) + MAX(0, (Z127-500000)*0.025) + MAX(0, (Z127-800000)*0.025) - AA127 - AB127))</f>
      </c>
      <c r="AD127" s="8">
        <f>IF(E127="","",AC127)</f>
      </c>
    </row>
    <row r="128" spans="1:30" x14ac:dyDescent="0.25">
      <c r="A128" s="6"/>
      <c r="B128" s="6"/>
      <c r="C128" s="6"/>
      <c r="F128" s="6"/>
      <c r="G128" s="6"/>
      <c r="L128" s="7"/>
      <c r="M128" s="7"/>
      <c r="N128" s="7"/>
      <c r="O128" s="7"/>
      <c r="P128" s="7"/>
      <c r="Q128" s="7"/>
      <c r="R128" s="7"/>
      <c r="S128" s="8">
        <f>IF(E128="","",SUM(L128:O128) + Q128 + R128)</f>
      </c>
      <c r="T128" s="8">
        <f>IF(E128="","",S128*0.0275)</f>
      </c>
      <c r="U128" s="8">
        <f>IF(E128="","",IF(S128&gt;0, MIN(S128*0.06, 6480), 0))</f>
      </c>
      <c r="V128" s="7"/>
      <c r="W128" s="7"/>
      <c r="X128" s="7"/>
      <c r="Y128" s="8">
        <f>IF(E128="","",S128*0.015)</f>
      </c>
      <c r="Z128" s="8">
        <f>IF(E128="","",MAX(0, S128 - T128 - U128 - V128 - W128 - X128 - Y128 - IF(J128="Yes", 150000, 0)))</f>
      </c>
      <c r="AA128" s="8">
        <f>IF(E128="","",IF(OR(L128&gt;0, E128&lt;&gt;""), 2400, 0))</f>
      </c>
      <c r="AB128" s="7"/>
      <c r="AC128" s="8">
        <f>IF(E128="","",MAX(0, MAX(0, Z128*0.1) + MAX(0, (Z128-24000)*0.15) + MAX(0, (Z128-32333)*0.05) + MAX(0, (Z128-500000)*0.025) + MAX(0, (Z128-800000)*0.025) - AA128 - AB128))</f>
      </c>
      <c r="AD128" s="8">
        <f>IF(E128="","",AC128)</f>
      </c>
    </row>
    <row r="129" spans="1:30" x14ac:dyDescent="0.25">
      <c r="A129" s="6"/>
      <c r="B129" s="6"/>
      <c r="C129" s="6"/>
      <c r="F129" s="6"/>
      <c r="G129" s="6"/>
      <c r="L129" s="7"/>
      <c r="M129" s="7"/>
      <c r="N129" s="7"/>
      <c r="O129" s="7"/>
      <c r="P129" s="7"/>
      <c r="Q129" s="7"/>
      <c r="R129" s="7"/>
      <c r="S129" s="8">
        <f>IF(E129="","",SUM(L129:O129) + Q129 + R129)</f>
      </c>
      <c r="T129" s="8">
        <f>IF(E129="","",S129*0.0275)</f>
      </c>
      <c r="U129" s="8">
        <f>IF(E129="","",IF(S129&gt;0, MIN(S129*0.06, 6480), 0))</f>
      </c>
      <c r="V129" s="7"/>
      <c r="W129" s="7"/>
      <c r="X129" s="7"/>
      <c r="Y129" s="8">
        <f>IF(E129="","",S129*0.015)</f>
      </c>
      <c r="Z129" s="8">
        <f>IF(E129="","",MAX(0, S129 - T129 - U129 - V129 - W129 - X129 - Y129 - IF(J129="Yes", 150000, 0)))</f>
      </c>
      <c r="AA129" s="8">
        <f>IF(E129="","",IF(OR(L129&gt;0, E129&lt;&gt;""), 2400, 0))</f>
      </c>
      <c r="AB129" s="7"/>
      <c r="AC129" s="8">
        <f>IF(E129="","",MAX(0, MAX(0, Z129*0.1) + MAX(0, (Z129-24000)*0.15) + MAX(0, (Z129-32333)*0.05) + MAX(0, (Z129-500000)*0.025) + MAX(0, (Z129-800000)*0.025) - AA129 - AB129))</f>
      </c>
      <c r="AD129" s="8">
        <f>IF(E129="","",AC129)</f>
      </c>
    </row>
    <row r="130" spans="1:30" x14ac:dyDescent="0.25">
      <c r="A130" s="6"/>
      <c r="B130" s="6"/>
      <c r="C130" s="6"/>
      <c r="F130" s="6"/>
      <c r="G130" s="6"/>
      <c r="L130" s="7"/>
      <c r="M130" s="7"/>
      <c r="N130" s="7"/>
      <c r="O130" s="7"/>
      <c r="P130" s="7"/>
      <c r="Q130" s="7"/>
      <c r="R130" s="7"/>
      <c r="S130" s="8">
        <f>IF(E130="","",SUM(L130:O130) + Q130 + R130)</f>
      </c>
      <c r="T130" s="8">
        <f>IF(E130="","",S130*0.0275)</f>
      </c>
      <c r="U130" s="8">
        <f>IF(E130="","",IF(S130&gt;0, MIN(S130*0.06, 6480), 0))</f>
      </c>
      <c r="V130" s="7"/>
      <c r="W130" s="7"/>
      <c r="X130" s="7"/>
      <c r="Y130" s="8">
        <f>IF(E130="","",S130*0.015)</f>
      </c>
      <c r="Z130" s="8">
        <f>IF(E130="","",MAX(0, S130 - T130 - U130 - V130 - W130 - X130 - Y130 - IF(J130="Yes", 150000, 0)))</f>
      </c>
      <c r="AA130" s="8">
        <f>IF(E130="","",IF(OR(L130&gt;0, E130&lt;&gt;""), 2400, 0))</f>
      </c>
      <c r="AB130" s="7"/>
      <c r="AC130" s="8">
        <f>IF(E130="","",MAX(0, MAX(0, Z130*0.1) + MAX(0, (Z130-24000)*0.15) + MAX(0, (Z130-32333)*0.05) + MAX(0, (Z130-500000)*0.025) + MAX(0, (Z130-800000)*0.025) - AA130 - AB130))</f>
      </c>
      <c r="AD130" s="8">
        <f>IF(E130="","",AC130)</f>
      </c>
    </row>
    <row r="131" spans="1:30" x14ac:dyDescent="0.25">
      <c r="A131" s="6"/>
      <c r="B131" s="6"/>
      <c r="C131" s="6"/>
      <c r="F131" s="6"/>
      <c r="G131" s="6"/>
      <c r="L131" s="7"/>
      <c r="M131" s="7"/>
      <c r="N131" s="7"/>
      <c r="O131" s="7"/>
      <c r="P131" s="7"/>
      <c r="Q131" s="7"/>
      <c r="R131" s="7"/>
      <c r="S131" s="8">
        <f>IF(E131="","",SUM(L131:O131) + Q131 + R131)</f>
      </c>
      <c r="T131" s="8">
        <f>IF(E131="","",S131*0.0275)</f>
      </c>
      <c r="U131" s="8">
        <f>IF(E131="","",IF(S131&gt;0, MIN(S131*0.06, 6480), 0))</f>
      </c>
      <c r="V131" s="7"/>
      <c r="W131" s="7"/>
      <c r="X131" s="7"/>
      <c r="Y131" s="8">
        <f>IF(E131="","",S131*0.015)</f>
      </c>
      <c r="Z131" s="8">
        <f>IF(E131="","",MAX(0, S131 - T131 - U131 - V131 - W131 - X131 - Y131 - IF(J131="Yes", 150000, 0)))</f>
      </c>
      <c r="AA131" s="8">
        <f>IF(E131="","",IF(OR(L131&gt;0, E131&lt;&gt;""), 2400, 0))</f>
      </c>
      <c r="AB131" s="7"/>
      <c r="AC131" s="8">
        <f>IF(E131="","",MAX(0, MAX(0, Z131*0.1) + MAX(0, (Z131-24000)*0.15) + MAX(0, (Z131-32333)*0.05) + MAX(0, (Z131-500000)*0.025) + MAX(0, (Z131-800000)*0.025) - AA131 - AB131))</f>
      </c>
      <c r="AD131" s="8">
        <f>IF(E131="","",AC131)</f>
      </c>
    </row>
    <row r="132" spans="1:30" x14ac:dyDescent="0.25">
      <c r="A132" s="6"/>
      <c r="B132" s="6"/>
      <c r="C132" s="6"/>
      <c r="F132" s="6"/>
      <c r="G132" s="6"/>
      <c r="L132" s="7"/>
      <c r="M132" s="7"/>
      <c r="N132" s="7"/>
      <c r="O132" s="7"/>
      <c r="P132" s="7"/>
      <c r="Q132" s="7"/>
      <c r="R132" s="7"/>
      <c r="S132" s="8">
        <f>IF(E132="","",SUM(L132:O132) + Q132 + R132)</f>
      </c>
      <c r="T132" s="8">
        <f>IF(E132="","",S132*0.0275)</f>
      </c>
      <c r="U132" s="8">
        <f>IF(E132="","",IF(S132&gt;0, MIN(S132*0.06, 6480), 0))</f>
      </c>
      <c r="V132" s="7"/>
      <c r="W132" s="7"/>
      <c r="X132" s="7"/>
      <c r="Y132" s="8">
        <f>IF(E132="","",S132*0.015)</f>
      </c>
      <c r="Z132" s="8">
        <f>IF(E132="","",MAX(0, S132 - T132 - U132 - V132 - W132 - X132 - Y132 - IF(J132="Yes", 150000, 0)))</f>
      </c>
      <c r="AA132" s="8">
        <f>IF(E132="","",IF(OR(L132&gt;0, E132&lt;&gt;""), 2400, 0))</f>
      </c>
      <c r="AB132" s="7"/>
      <c r="AC132" s="8">
        <f>IF(E132="","",MAX(0, MAX(0, Z132*0.1) + MAX(0, (Z132-24000)*0.15) + MAX(0, (Z132-32333)*0.05) + MAX(0, (Z132-500000)*0.025) + MAX(0, (Z132-800000)*0.025) - AA132 - AB132))</f>
      </c>
      <c r="AD132" s="8">
        <f>IF(E132="","",AC132)</f>
      </c>
    </row>
    <row r="133" spans="1:30" x14ac:dyDescent="0.25">
      <c r="A133" s="6"/>
      <c r="B133" s="6"/>
      <c r="C133" s="6"/>
      <c r="F133" s="6"/>
      <c r="G133" s="6"/>
      <c r="L133" s="7"/>
      <c r="M133" s="7"/>
      <c r="N133" s="7"/>
      <c r="O133" s="7"/>
      <c r="P133" s="7"/>
      <c r="Q133" s="7"/>
      <c r="R133" s="7"/>
      <c r="S133" s="8">
        <f>IF(E133="","",SUM(L133:O133) + Q133 + R133)</f>
      </c>
      <c r="T133" s="8">
        <f>IF(E133="","",S133*0.0275)</f>
      </c>
      <c r="U133" s="8">
        <f>IF(E133="","",IF(S133&gt;0, MIN(S133*0.06, 6480), 0))</f>
      </c>
      <c r="V133" s="7"/>
      <c r="W133" s="7"/>
      <c r="X133" s="7"/>
      <c r="Y133" s="8">
        <f>IF(E133="","",S133*0.015)</f>
      </c>
      <c r="Z133" s="8">
        <f>IF(E133="","",MAX(0, S133 - T133 - U133 - V133 - W133 - X133 - Y133 - IF(J133="Yes", 150000, 0)))</f>
      </c>
      <c r="AA133" s="8">
        <f>IF(E133="","",IF(OR(L133&gt;0, E133&lt;&gt;""), 2400, 0))</f>
      </c>
      <c r="AB133" s="7"/>
      <c r="AC133" s="8">
        <f>IF(E133="","",MAX(0, MAX(0, Z133*0.1) + MAX(0, (Z133-24000)*0.15) + MAX(0, (Z133-32333)*0.05) + MAX(0, (Z133-500000)*0.025) + MAX(0, (Z133-800000)*0.025) - AA133 - AB133))</f>
      </c>
      <c r="AD133" s="8">
        <f>IF(E133="","",AC133)</f>
      </c>
    </row>
    <row r="134" spans="1:30" x14ac:dyDescent="0.25">
      <c r="A134" s="6"/>
      <c r="B134" s="6"/>
      <c r="C134" s="6"/>
      <c r="F134" s="6"/>
      <c r="G134" s="6"/>
      <c r="L134" s="7"/>
      <c r="M134" s="7"/>
      <c r="N134" s="7"/>
      <c r="O134" s="7"/>
      <c r="P134" s="7"/>
      <c r="Q134" s="7"/>
      <c r="R134" s="7"/>
      <c r="S134" s="8">
        <f>IF(E134="","",SUM(L134:O134) + Q134 + R134)</f>
      </c>
      <c r="T134" s="8">
        <f>IF(E134="","",S134*0.0275)</f>
      </c>
      <c r="U134" s="8">
        <f>IF(E134="","",IF(S134&gt;0, MIN(S134*0.06, 6480), 0))</f>
      </c>
      <c r="V134" s="7"/>
      <c r="W134" s="7"/>
      <c r="X134" s="7"/>
      <c r="Y134" s="8">
        <f>IF(E134="","",S134*0.015)</f>
      </c>
      <c r="Z134" s="8">
        <f>IF(E134="","",MAX(0, S134 - T134 - U134 - V134 - W134 - X134 - Y134 - IF(J134="Yes", 150000, 0)))</f>
      </c>
      <c r="AA134" s="8">
        <f>IF(E134="","",IF(OR(L134&gt;0, E134&lt;&gt;""), 2400, 0))</f>
      </c>
      <c r="AB134" s="7"/>
      <c r="AC134" s="8">
        <f>IF(E134="","",MAX(0, MAX(0, Z134*0.1) + MAX(0, (Z134-24000)*0.15) + MAX(0, (Z134-32333)*0.05) + MAX(0, (Z134-500000)*0.025) + MAX(0, (Z134-800000)*0.025) - AA134 - AB134))</f>
      </c>
      <c r="AD134" s="8">
        <f>IF(E134="","",AC134)</f>
      </c>
    </row>
    <row r="135" spans="1:30" x14ac:dyDescent="0.25">
      <c r="A135" s="6"/>
      <c r="B135" s="6"/>
      <c r="C135" s="6"/>
      <c r="F135" s="6"/>
      <c r="G135" s="6"/>
      <c r="L135" s="7"/>
      <c r="M135" s="7"/>
      <c r="N135" s="7"/>
      <c r="O135" s="7"/>
      <c r="P135" s="7"/>
      <c r="Q135" s="7"/>
      <c r="R135" s="7"/>
      <c r="S135" s="8">
        <f>IF(E135="","",SUM(L135:O135) + Q135 + R135)</f>
      </c>
      <c r="T135" s="8">
        <f>IF(E135="","",S135*0.0275)</f>
      </c>
      <c r="U135" s="8">
        <f>IF(E135="","",IF(S135&gt;0, MIN(S135*0.06, 6480), 0))</f>
      </c>
      <c r="V135" s="7"/>
      <c r="W135" s="7"/>
      <c r="X135" s="7"/>
      <c r="Y135" s="8">
        <f>IF(E135="","",S135*0.015)</f>
      </c>
      <c r="Z135" s="8">
        <f>IF(E135="","",MAX(0, S135 - T135 - U135 - V135 - W135 - X135 - Y135 - IF(J135="Yes", 150000, 0)))</f>
      </c>
      <c r="AA135" s="8">
        <f>IF(E135="","",IF(OR(L135&gt;0, E135&lt;&gt;""), 2400, 0))</f>
      </c>
      <c r="AB135" s="7"/>
      <c r="AC135" s="8">
        <f>IF(E135="","",MAX(0, MAX(0, Z135*0.1) + MAX(0, (Z135-24000)*0.15) + MAX(0, (Z135-32333)*0.05) + MAX(0, (Z135-500000)*0.025) + MAX(0, (Z135-800000)*0.025) - AA135 - AB135))</f>
      </c>
      <c r="AD135" s="8">
        <f>IF(E135="","",AC135)</f>
      </c>
    </row>
    <row r="136" spans="1:30" x14ac:dyDescent="0.25">
      <c r="A136" s="6"/>
      <c r="B136" s="6"/>
      <c r="C136" s="6"/>
      <c r="F136" s="6"/>
      <c r="G136" s="6"/>
      <c r="L136" s="7"/>
      <c r="M136" s="7"/>
      <c r="N136" s="7"/>
      <c r="O136" s="7"/>
      <c r="P136" s="7"/>
      <c r="Q136" s="7"/>
      <c r="R136" s="7"/>
      <c r="S136" s="8">
        <f>IF(E136="","",SUM(L136:O136) + Q136 + R136)</f>
      </c>
      <c r="T136" s="8">
        <f>IF(E136="","",S136*0.0275)</f>
      </c>
      <c r="U136" s="8">
        <f>IF(E136="","",IF(S136&gt;0, MIN(S136*0.06, 6480), 0))</f>
      </c>
      <c r="V136" s="7"/>
      <c r="W136" s="7"/>
      <c r="X136" s="7"/>
      <c r="Y136" s="8">
        <f>IF(E136="","",S136*0.015)</f>
      </c>
      <c r="Z136" s="8">
        <f>IF(E136="","",MAX(0, S136 - T136 - U136 - V136 - W136 - X136 - Y136 - IF(J136="Yes", 150000, 0)))</f>
      </c>
      <c r="AA136" s="8">
        <f>IF(E136="","",IF(OR(L136&gt;0, E136&lt;&gt;""), 2400, 0))</f>
      </c>
      <c r="AB136" s="7"/>
      <c r="AC136" s="8">
        <f>IF(E136="","",MAX(0, MAX(0, Z136*0.1) + MAX(0, (Z136-24000)*0.15) + MAX(0, (Z136-32333)*0.05) + MAX(0, (Z136-500000)*0.025) + MAX(0, (Z136-800000)*0.025) - AA136 - AB136))</f>
      </c>
      <c r="AD136" s="8">
        <f>IF(E136="","",AC136)</f>
      </c>
    </row>
    <row r="137" spans="1:30" x14ac:dyDescent="0.25">
      <c r="A137" s="6"/>
      <c r="B137" s="6"/>
      <c r="C137" s="6"/>
      <c r="F137" s="6"/>
      <c r="G137" s="6"/>
      <c r="L137" s="7"/>
      <c r="M137" s="7"/>
      <c r="N137" s="7"/>
      <c r="O137" s="7"/>
      <c r="P137" s="7"/>
      <c r="Q137" s="7"/>
      <c r="R137" s="7"/>
      <c r="S137" s="8">
        <f>IF(E137="","",SUM(L137:O137) + Q137 + R137)</f>
      </c>
      <c r="T137" s="8">
        <f>IF(E137="","",S137*0.0275)</f>
      </c>
      <c r="U137" s="8">
        <f>IF(E137="","",IF(S137&gt;0, MIN(S137*0.06, 6480), 0))</f>
      </c>
      <c r="V137" s="7"/>
      <c r="W137" s="7"/>
      <c r="X137" s="7"/>
      <c r="Y137" s="8">
        <f>IF(E137="","",S137*0.015)</f>
      </c>
      <c r="Z137" s="8">
        <f>IF(E137="","",MAX(0, S137 - T137 - U137 - V137 - W137 - X137 - Y137 - IF(J137="Yes", 150000, 0)))</f>
      </c>
      <c r="AA137" s="8">
        <f>IF(E137="","",IF(OR(L137&gt;0, E137&lt;&gt;""), 2400, 0))</f>
      </c>
      <c r="AB137" s="7"/>
      <c r="AC137" s="8">
        <f>IF(E137="","",MAX(0, MAX(0, Z137*0.1) + MAX(0, (Z137-24000)*0.15) + MAX(0, (Z137-32333)*0.05) + MAX(0, (Z137-500000)*0.025) + MAX(0, (Z137-800000)*0.025) - AA137 - AB137))</f>
      </c>
      <c r="AD137" s="8">
        <f>IF(E137="","",AC137)</f>
      </c>
    </row>
    <row r="138" spans="1:30" x14ac:dyDescent="0.25">
      <c r="A138" s="6"/>
      <c r="B138" s="6"/>
      <c r="C138" s="6"/>
      <c r="F138" s="6"/>
      <c r="G138" s="6"/>
      <c r="L138" s="7"/>
      <c r="M138" s="7"/>
      <c r="N138" s="7"/>
      <c r="O138" s="7"/>
      <c r="P138" s="7"/>
      <c r="Q138" s="7"/>
      <c r="R138" s="7"/>
      <c r="S138" s="8">
        <f>IF(E138="","",SUM(L138:O138) + Q138 + R138)</f>
      </c>
      <c r="T138" s="8">
        <f>IF(E138="","",S138*0.0275)</f>
      </c>
      <c r="U138" s="8">
        <f>IF(E138="","",IF(S138&gt;0, MIN(S138*0.06, 6480), 0))</f>
      </c>
      <c r="V138" s="7"/>
      <c r="W138" s="7"/>
      <c r="X138" s="7"/>
      <c r="Y138" s="8">
        <f>IF(E138="","",S138*0.015)</f>
      </c>
      <c r="Z138" s="8">
        <f>IF(E138="","",MAX(0, S138 - T138 - U138 - V138 - W138 - X138 - Y138 - IF(J138="Yes", 150000, 0)))</f>
      </c>
      <c r="AA138" s="8">
        <f>IF(E138="","",IF(OR(L138&gt;0, E138&lt;&gt;""), 2400, 0))</f>
      </c>
      <c r="AB138" s="7"/>
      <c r="AC138" s="8">
        <f>IF(E138="","",MAX(0, MAX(0, Z138*0.1) + MAX(0, (Z138-24000)*0.15) + MAX(0, (Z138-32333)*0.05) + MAX(0, (Z138-500000)*0.025) + MAX(0, (Z138-800000)*0.025) - AA138 - AB138))</f>
      </c>
      <c r="AD138" s="8">
        <f>IF(E138="","",AC138)</f>
      </c>
    </row>
    <row r="139" spans="1:30" x14ac:dyDescent="0.25">
      <c r="A139" s="6"/>
      <c r="B139" s="6"/>
      <c r="C139" s="6"/>
      <c r="F139" s="6"/>
      <c r="G139" s="6"/>
      <c r="L139" s="7"/>
      <c r="M139" s="7"/>
      <c r="N139" s="7"/>
      <c r="O139" s="7"/>
      <c r="P139" s="7"/>
      <c r="Q139" s="7"/>
      <c r="R139" s="7"/>
      <c r="S139" s="8">
        <f>IF(E139="","",SUM(L139:O139) + Q139 + R139)</f>
      </c>
      <c r="T139" s="8">
        <f>IF(E139="","",S139*0.0275)</f>
      </c>
      <c r="U139" s="8">
        <f>IF(E139="","",IF(S139&gt;0, MIN(S139*0.06, 6480), 0))</f>
      </c>
      <c r="V139" s="7"/>
      <c r="W139" s="7"/>
      <c r="X139" s="7"/>
      <c r="Y139" s="8">
        <f>IF(E139="","",S139*0.015)</f>
      </c>
      <c r="Z139" s="8">
        <f>IF(E139="","",MAX(0, S139 - T139 - U139 - V139 - W139 - X139 - Y139 - IF(J139="Yes", 150000, 0)))</f>
      </c>
      <c r="AA139" s="8">
        <f>IF(E139="","",IF(OR(L139&gt;0, E139&lt;&gt;""), 2400, 0))</f>
      </c>
      <c r="AB139" s="7"/>
      <c r="AC139" s="8">
        <f>IF(E139="","",MAX(0, MAX(0, Z139*0.1) + MAX(0, (Z139-24000)*0.15) + MAX(0, (Z139-32333)*0.05) + MAX(0, (Z139-500000)*0.025) + MAX(0, (Z139-800000)*0.025) - AA139 - AB139))</f>
      </c>
      <c r="AD139" s="8">
        <f>IF(E139="","",AC139)</f>
      </c>
    </row>
    <row r="140" spans="1:30" x14ac:dyDescent="0.25">
      <c r="A140" s="6"/>
      <c r="B140" s="6"/>
      <c r="C140" s="6"/>
      <c r="F140" s="6"/>
      <c r="G140" s="6"/>
      <c r="L140" s="7"/>
      <c r="M140" s="7"/>
      <c r="N140" s="7"/>
      <c r="O140" s="7"/>
      <c r="P140" s="7"/>
      <c r="Q140" s="7"/>
      <c r="R140" s="7"/>
      <c r="S140" s="8">
        <f>IF(E140="","",SUM(L140:O140) + Q140 + R140)</f>
      </c>
      <c r="T140" s="8">
        <f>IF(E140="","",S140*0.0275)</f>
      </c>
      <c r="U140" s="8">
        <f>IF(E140="","",IF(S140&gt;0, MIN(S140*0.06, 6480), 0))</f>
      </c>
      <c r="V140" s="7"/>
      <c r="W140" s="7"/>
      <c r="X140" s="7"/>
      <c r="Y140" s="8">
        <f>IF(E140="","",S140*0.015)</f>
      </c>
      <c r="Z140" s="8">
        <f>IF(E140="","",MAX(0, S140 - T140 - U140 - V140 - W140 - X140 - Y140 - IF(J140="Yes", 150000, 0)))</f>
      </c>
      <c r="AA140" s="8">
        <f>IF(E140="","",IF(OR(L140&gt;0, E140&lt;&gt;""), 2400, 0))</f>
      </c>
      <c r="AB140" s="7"/>
      <c r="AC140" s="8">
        <f>IF(E140="","",MAX(0, MAX(0, Z140*0.1) + MAX(0, (Z140-24000)*0.15) + MAX(0, (Z140-32333)*0.05) + MAX(0, (Z140-500000)*0.025) + MAX(0, (Z140-800000)*0.025) - AA140 - AB140))</f>
      </c>
      <c r="AD140" s="8">
        <f>IF(E140="","",AC140)</f>
      </c>
    </row>
    <row r="141" spans="1:30" x14ac:dyDescent="0.25">
      <c r="A141" s="6"/>
      <c r="B141" s="6"/>
      <c r="C141" s="6"/>
      <c r="F141" s="6"/>
      <c r="G141" s="6"/>
      <c r="L141" s="7"/>
      <c r="M141" s="7"/>
      <c r="N141" s="7"/>
      <c r="O141" s="7"/>
      <c r="P141" s="7"/>
      <c r="Q141" s="7"/>
      <c r="R141" s="7"/>
      <c r="S141" s="8">
        <f>IF(E141="","",SUM(L141:O141) + Q141 + R141)</f>
      </c>
      <c r="T141" s="8">
        <f>IF(E141="","",S141*0.0275)</f>
      </c>
      <c r="U141" s="8">
        <f>IF(E141="","",IF(S141&gt;0, MIN(S141*0.06, 6480), 0))</f>
      </c>
      <c r="V141" s="7"/>
      <c r="W141" s="7"/>
      <c r="X141" s="7"/>
      <c r="Y141" s="8">
        <f>IF(E141="","",S141*0.015)</f>
      </c>
      <c r="Z141" s="8">
        <f>IF(E141="","",MAX(0, S141 - T141 - U141 - V141 - W141 - X141 - Y141 - IF(J141="Yes", 150000, 0)))</f>
      </c>
      <c r="AA141" s="8">
        <f>IF(E141="","",IF(OR(L141&gt;0, E141&lt;&gt;""), 2400, 0))</f>
      </c>
      <c r="AB141" s="7"/>
      <c r="AC141" s="8">
        <f>IF(E141="","",MAX(0, MAX(0, Z141*0.1) + MAX(0, (Z141-24000)*0.15) + MAX(0, (Z141-32333)*0.05) + MAX(0, (Z141-500000)*0.025) + MAX(0, (Z141-800000)*0.025) - AA141 - AB141))</f>
      </c>
      <c r="AD141" s="8">
        <f>IF(E141="","",AC141)</f>
      </c>
    </row>
    <row r="142" spans="1:30" x14ac:dyDescent="0.25">
      <c r="A142" s="6"/>
      <c r="B142" s="6"/>
      <c r="C142" s="6"/>
      <c r="F142" s="6"/>
      <c r="G142" s="6"/>
      <c r="L142" s="7"/>
      <c r="M142" s="7"/>
      <c r="N142" s="7"/>
      <c r="O142" s="7"/>
      <c r="P142" s="7"/>
      <c r="Q142" s="7"/>
      <c r="R142" s="7"/>
      <c r="S142" s="8">
        <f>IF(E142="","",SUM(L142:O142) + Q142 + R142)</f>
      </c>
      <c r="T142" s="8">
        <f>IF(E142="","",S142*0.0275)</f>
      </c>
      <c r="U142" s="8">
        <f>IF(E142="","",IF(S142&gt;0, MIN(S142*0.06, 6480), 0))</f>
      </c>
      <c r="V142" s="7"/>
      <c r="W142" s="7"/>
      <c r="X142" s="7"/>
      <c r="Y142" s="8">
        <f>IF(E142="","",S142*0.015)</f>
      </c>
      <c r="Z142" s="8">
        <f>IF(E142="","",MAX(0, S142 - T142 - U142 - V142 - W142 - X142 - Y142 - IF(J142="Yes", 150000, 0)))</f>
      </c>
      <c r="AA142" s="8">
        <f>IF(E142="","",IF(OR(L142&gt;0, E142&lt;&gt;""), 2400, 0))</f>
      </c>
      <c r="AB142" s="7"/>
      <c r="AC142" s="8">
        <f>IF(E142="","",MAX(0, MAX(0, Z142*0.1) + MAX(0, (Z142-24000)*0.15) + MAX(0, (Z142-32333)*0.05) + MAX(0, (Z142-500000)*0.025) + MAX(0, (Z142-800000)*0.025) - AA142 - AB142))</f>
      </c>
      <c r="AD142" s="8">
        <f>IF(E142="","",AC142)</f>
      </c>
    </row>
    <row r="143" spans="1:30" x14ac:dyDescent="0.25">
      <c r="A143" s="6"/>
      <c r="B143" s="6"/>
      <c r="C143" s="6"/>
      <c r="F143" s="6"/>
      <c r="G143" s="6"/>
      <c r="L143" s="7"/>
      <c r="M143" s="7"/>
      <c r="N143" s="7"/>
      <c r="O143" s="7"/>
      <c r="P143" s="7"/>
      <c r="Q143" s="7"/>
      <c r="R143" s="7"/>
      <c r="S143" s="8">
        <f>IF(E143="","",SUM(L143:O143) + Q143 + R143)</f>
      </c>
      <c r="T143" s="8">
        <f>IF(E143="","",S143*0.0275)</f>
      </c>
      <c r="U143" s="8">
        <f>IF(E143="","",IF(S143&gt;0, MIN(S143*0.06, 6480), 0))</f>
      </c>
      <c r="V143" s="7"/>
      <c r="W143" s="7"/>
      <c r="X143" s="7"/>
      <c r="Y143" s="8">
        <f>IF(E143="","",S143*0.015)</f>
      </c>
      <c r="Z143" s="8">
        <f>IF(E143="","",MAX(0, S143 - T143 - U143 - V143 - W143 - X143 - Y143 - IF(J143="Yes", 150000, 0)))</f>
      </c>
      <c r="AA143" s="8">
        <f>IF(E143="","",IF(OR(L143&gt;0, E143&lt;&gt;""), 2400, 0))</f>
      </c>
      <c r="AB143" s="7"/>
      <c r="AC143" s="8">
        <f>IF(E143="","",MAX(0, MAX(0, Z143*0.1) + MAX(0, (Z143-24000)*0.15) + MAX(0, (Z143-32333)*0.05) + MAX(0, (Z143-500000)*0.025) + MAX(0, (Z143-800000)*0.025) - AA143 - AB143))</f>
      </c>
      <c r="AD143" s="8">
        <f>IF(E143="","",AC143)</f>
      </c>
    </row>
    <row r="144" spans="1:30" x14ac:dyDescent="0.25">
      <c r="A144" s="6"/>
      <c r="B144" s="6"/>
      <c r="C144" s="6"/>
      <c r="F144" s="6"/>
      <c r="G144" s="6"/>
      <c r="L144" s="7"/>
      <c r="M144" s="7"/>
      <c r="N144" s="7"/>
      <c r="O144" s="7"/>
      <c r="P144" s="7"/>
      <c r="Q144" s="7"/>
      <c r="R144" s="7"/>
      <c r="S144" s="8">
        <f>IF(E144="","",SUM(L144:O144) + Q144 + R144)</f>
      </c>
      <c r="T144" s="8">
        <f>IF(E144="","",S144*0.0275)</f>
      </c>
      <c r="U144" s="8">
        <f>IF(E144="","",IF(S144&gt;0, MIN(S144*0.06, 6480), 0))</f>
      </c>
      <c r="V144" s="7"/>
      <c r="W144" s="7"/>
      <c r="X144" s="7"/>
      <c r="Y144" s="8">
        <f>IF(E144="","",S144*0.015)</f>
      </c>
      <c r="Z144" s="8">
        <f>IF(E144="","",MAX(0, S144 - T144 - U144 - V144 - W144 - X144 - Y144 - IF(J144="Yes", 150000, 0)))</f>
      </c>
      <c r="AA144" s="8">
        <f>IF(E144="","",IF(OR(L144&gt;0, E144&lt;&gt;""), 2400, 0))</f>
      </c>
      <c r="AB144" s="7"/>
      <c r="AC144" s="8">
        <f>IF(E144="","",MAX(0, MAX(0, Z144*0.1) + MAX(0, (Z144-24000)*0.15) + MAX(0, (Z144-32333)*0.05) + MAX(0, (Z144-500000)*0.025) + MAX(0, (Z144-800000)*0.025) - AA144 - AB144))</f>
      </c>
      <c r="AD144" s="8">
        <f>IF(E144="","",AC144)</f>
      </c>
    </row>
    <row r="145" spans="1:30" x14ac:dyDescent="0.25">
      <c r="A145" s="6"/>
      <c r="B145" s="6"/>
      <c r="C145" s="6"/>
      <c r="F145" s="6"/>
      <c r="G145" s="6"/>
      <c r="L145" s="7"/>
      <c r="M145" s="7"/>
      <c r="N145" s="7"/>
      <c r="O145" s="7"/>
      <c r="P145" s="7"/>
      <c r="Q145" s="7"/>
      <c r="R145" s="7"/>
      <c r="S145" s="8">
        <f>IF(E145="","",SUM(L145:O145) + Q145 + R145)</f>
      </c>
      <c r="T145" s="8">
        <f>IF(E145="","",S145*0.0275)</f>
      </c>
      <c r="U145" s="8">
        <f>IF(E145="","",IF(S145&gt;0, MIN(S145*0.06, 6480), 0))</f>
      </c>
      <c r="V145" s="7"/>
      <c r="W145" s="7"/>
      <c r="X145" s="7"/>
      <c r="Y145" s="8">
        <f>IF(E145="","",S145*0.015)</f>
      </c>
      <c r="Z145" s="8">
        <f>IF(E145="","",MAX(0, S145 - T145 - U145 - V145 - W145 - X145 - Y145 - IF(J145="Yes", 150000, 0)))</f>
      </c>
      <c r="AA145" s="8">
        <f>IF(E145="","",IF(OR(L145&gt;0, E145&lt;&gt;""), 2400, 0))</f>
      </c>
      <c r="AB145" s="7"/>
      <c r="AC145" s="8">
        <f>IF(E145="","",MAX(0, MAX(0, Z145*0.1) + MAX(0, (Z145-24000)*0.15) + MAX(0, (Z145-32333)*0.05) + MAX(0, (Z145-500000)*0.025) + MAX(0, (Z145-800000)*0.025) - AA145 - AB145))</f>
      </c>
      <c r="AD145" s="8">
        <f>IF(E145="","",AC145)</f>
      </c>
    </row>
    <row r="146" spans="1:30" x14ac:dyDescent="0.25">
      <c r="A146" s="6"/>
      <c r="B146" s="6"/>
      <c r="C146" s="6"/>
      <c r="F146" s="6"/>
      <c r="G146" s="6"/>
      <c r="L146" s="7"/>
      <c r="M146" s="7"/>
      <c r="N146" s="7"/>
      <c r="O146" s="7"/>
      <c r="P146" s="7"/>
      <c r="Q146" s="7"/>
      <c r="R146" s="7"/>
      <c r="S146" s="8">
        <f>IF(E146="","",SUM(L146:O146) + Q146 + R146)</f>
      </c>
      <c r="T146" s="8">
        <f>IF(E146="","",S146*0.0275)</f>
      </c>
      <c r="U146" s="8">
        <f>IF(E146="","",IF(S146&gt;0, MIN(S146*0.06, 6480), 0))</f>
      </c>
      <c r="V146" s="7"/>
      <c r="W146" s="7"/>
      <c r="X146" s="7"/>
      <c r="Y146" s="8">
        <f>IF(E146="","",S146*0.015)</f>
      </c>
      <c r="Z146" s="8">
        <f>IF(E146="","",MAX(0, S146 - T146 - U146 - V146 - W146 - X146 - Y146 - IF(J146="Yes", 150000, 0)))</f>
      </c>
      <c r="AA146" s="8">
        <f>IF(E146="","",IF(OR(L146&gt;0, E146&lt;&gt;""), 2400, 0))</f>
      </c>
      <c r="AB146" s="7"/>
      <c r="AC146" s="8">
        <f>IF(E146="","",MAX(0, MAX(0, Z146*0.1) + MAX(0, (Z146-24000)*0.15) + MAX(0, (Z146-32333)*0.05) + MAX(0, (Z146-500000)*0.025) + MAX(0, (Z146-800000)*0.025) - AA146 - AB146))</f>
      </c>
      <c r="AD146" s="8">
        <f>IF(E146="","",AC146)</f>
      </c>
    </row>
    <row r="147" spans="1:30" x14ac:dyDescent="0.25">
      <c r="A147" s="6"/>
      <c r="B147" s="6"/>
      <c r="C147" s="6"/>
      <c r="F147" s="6"/>
      <c r="G147" s="6"/>
      <c r="L147" s="7"/>
      <c r="M147" s="7"/>
      <c r="N147" s="7"/>
      <c r="O147" s="7"/>
      <c r="P147" s="7"/>
      <c r="Q147" s="7"/>
      <c r="R147" s="7"/>
      <c r="S147" s="8">
        <f>IF(E147="","",SUM(L147:O147) + Q147 + R147)</f>
      </c>
      <c r="T147" s="8">
        <f>IF(E147="","",S147*0.0275)</f>
      </c>
      <c r="U147" s="8">
        <f>IF(E147="","",IF(S147&gt;0, MIN(S147*0.06, 6480), 0))</f>
      </c>
      <c r="V147" s="7"/>
      <c r="W147" s="7"/>
      <c r="X147" s="7"/>
      <c r="Y147" s="8">
        <f>IF(E147="","",S147*0.015)</f>
      </c>
      <c r="Z147" s="8">
        <f>IF(E147="","",MAX(0, S147 - T147 - U147 - V147 - W147 - X147 - Y147 - IF(J147="Yes", 150000, 0)))</f>
      </c>
      <c r="AA147" s="8">
        <f>IF(E147="","",IF(OR(L147&gt;0, E147&lt;&gt;""), 2400, 0))</f>
      </c>
      <c r="AB147" s="7"/>
      <c r="AC147" s="8">
        <f>IF(E147="","",MAX(0, MAX(0, Z147*0.1) + MAX(0, (Z147-24000)*0.15) + MAX(0, (Z147-32333)*0.05) + MAX(0, (Z147-500000)*0.025) + MAX(0, (Z147-800000)*0.025) - AA147 - AB147))</f>
      </c>
      <c r="AD147" s="8">
        <f>IF(E147="","",AC147)</f>
      </c>
    </row>
    <row r="148" spans="1:30" x14ac:dyDescent="0.25">
      <c r="A148" s="6"/>
      <c r="B148" s="6"/>
      <c r="C148" s="6"/>
      <c r="F148" s="6"/>
      <c r="G148" s="6"/>
      <c r="L148" s="7"/>
      <c r="M148" s="7"/>
      <c r="N148" s="7"/>
      <c r="O148" s="7"/>
      <c r="P148" s="7"/>
      <c r="Q148" s="7"/>
      <c r="R148" s="7"/>
      <c r="S148" s="8">
        <f>IF(E148="","",SUM(L148:O148) + Q148 + R148)</f>
      </c>
      <c r="T148" s="8">
        <f>IF(E148="","",S148*0.0275)</f>
      </c>
      <c r="U148" s="8">
        <f>IF(E148="","",IF(S148&gt;0, MIN(S148*0.06, 6480), 0))</f>
      </c>
      <c r="V148" s="7"/>
      <c r="W148" s="7"/>
      <c r="X148" s="7"/>
      <c r="Y148" s="8">
        <f>IF(E148="","",S148*0.015)</f>
      </c>
      <c r="Z148" s="8">
        <f>IF(E148="","",MAX(0, S148 - T148 - U148 - V148 - W148 - X148 - Y148 - IF(J148="Yes", 150000, 0)))</f>
      </c>
      <c r="AA148" s="8">
        <f>IF(E148="","",IF(OR(L148&gt;0, E148&lt;&gt;""), 2400, 0))</f>
      </c>
      <c r="AB148" s="7"/>
      <c r="AC148" s="8">
        <f>IF(E148="","",MAX(0, MAX(0, Z148*0.1) + MAX(0, (Z148-24000)*0.15) + MAX(0, (Z148-32333)*0.05) + MAX(0, (Z148-500000)*0.025) + MAX(0, (Z148-800000)*0.025) - AA148 - AB148))</f>
      </c>
      <c r="AD148" s="8">
        <f>IF(E148="","",AC148)</f>
      </c>
    </row>
    <row r="149" spans="1:30" x14ac:dyDescent="0.25">
      <c r="A149" s="6"/>
      <c r="B149" s="6"/>
      <c r="C149" s="6"/>
      <c r="F149" s="6"/>
      <c r="G149" s="6"/>
      <c r="L149" s="7"/>
      <c r="M149" s="7"/>
      <c r="N149" s="7"/>
      <c r="O149" s="7"/>
      <c r="P149" s="7"/>
      <c r="Q149" s="7"/>
      <c r="R149" s="7"/>
      <c r="S149" s="8">
        <f>IF(E149="","",SUM(L149:O149) + Q149 + R149)</f>
      </c>
      <c r="T149" s="8">
        <f>IF(E149="","",S149*0.0275)</f>
      </c>
      <c r="U149" s="8">
        <f>IF(E149="","",IF(S149&gt;0, MIN(S149*0.06, 6480), 0))</f>
      </c>
      <c r="V149" s="7"/>
      <c r="W149" s="7"/>
      <c r="X149" s="7"/>
      <c r="Y149" s="8">
        <f>IF(E149="","",S149*0.015)</f>
      </c>
      <c r="Z149" s="8">
        <f>IF(E149="","",MAX(0, S149 - T149 - U149 - V149 - W149 - X149 - Y149 - IF(J149="Yes", 150000, 0)))</f>
      </c>
      <c r="AA149" s="8">
        <f>IF(E149="","",IF(OR(L149&gt;0, E149&lt;&gt;""), 2400, 0))</f>
      </c>
      <c r="AB149" s="7"/>
      <c r="AC149" s="8">
        <f>IF(E149="","",MAX(0, MAX(0, Z149*0.1) + MAX(0, (Z149-24000)*0.15) + MAX(0, (Z149-32333)*0.05) + MAX(0, (Z149-500000)*0.025) + MAX(0, (Z149-800000)*0.025) - AA149 - AB149))</f>
      </c>
      <c r="AD149" s="8">
        <f>IF(E149="","",AC149)</f>
      </c>
    </row>
    <row r="150" spans="1:30" x14ac:dyDescent="0.25">
      <c r="A150" s="6"/>
      <c r="B150" s="6"/>
      <c r="C150" s="6"/>
      <c r="F150" s="6"/>
      <c r="G150" s="6"/>
      <c r="L150" s="7"/>
      <c r="M150" s="7"/>
      <c r="N150" s="7"/>
      <c r="O150" s="7"/>
      <c r="P150" s="7"/>
      <c r="Q150" s="7"/>
      <c r="R150" s="7"/>
      <c r="S150" s="8">
        <f>IF(E150="","",SUM(L150:O150) + Q150 + R150)</f>
      </c>
      <c r="T150" s="8">
        <f>IF(E150="","",S150*0.0275)</f>
      </c>
      <c r="U150" s="8">
        <f>IF(E150="","",IF(S150&gt;0, MIN(S150*0.06, 6480), 0))</f>
      </c>
      <c r="V150" s="7"/>
      <c r="W150" s="7"/>
      <c r="X150" s="7"/>
      <c r="Y150" s="8">
        <f>IF(E150="","",S150*0.015)</f>
      </c>
      <c r="Z150" s="8">
        <f>IF(E150="","",MAX(0, S150 - T150 - U150 - V150 - W150 - X150 - Y150 - IF(J150="Yes", 150000, 0)))</f>
      </c>
      <c r="AA150" s="8">
        <f>IF(E150="","",IF(OR(L150&gt;0, E150&lt;&gt;""), 2400, 0))</f>
      </c>
      <c r="AB150" s="7"/>
      <c r="AC150" s="8">
        <f>IF(E150="","",MAX(0, MAX(0, Z150*0.1) + MAX(0, (Z150-24000)*0.15) + MAX(0, (Z150-32333)*0.05) + MAX(0, (Z150-500000)*0.025) + MAX(0, (Z150-800000)*0.025) - AA150 - AB150))</f>
      </c>
      <c r="AD150" s="8">
        <f>IF(E150="","",AC150)</f>
      </c>
    </row>
    <row r="151" spans="1:30" x14ac:dyDescent="0.25">
      <c r="A151" s="6"/>
      <c r="B151" s="6"/>
      <c r="C151" s="6"/>
      <c r="F151" s="6"/>
      <c r="G151" s="6"/>
      <c r="L151" s="7"/>
      <c r="M151" s="7"/>
      <c r="N151" s="7"/>
      <c r="O151" s="7"/>
      <c r="P151" s="7"/>
      <c r="Q151" s="7"/>
      <c r="R151" s="7"/>
      <c r="S151" s="8">
        <f>IF(E151="","",SUM(L151:O151) + Q151 + R151)</f>
      </c>
      <c r="T151" s="8">
        <f>IF(E151="","",S151*0.0275)</f>
      </c>
      <c r="U151" s="8">
        <f>IF(E151="","",IF(S151&gt;0, MIN(S151*0.06, 6480), 0))</f>
      </c>
      <c r="V151" s="7"/>
      <c r="W151" s="7"/>
      <c r="X151" s="7"/>
      <c r="Y151" s="8">
        <f>IF(E151="","",S151*0.015)</f>
      </c>
      <c r="Z151" s="8">
        <f>IF(E151="","",MAX(0, S151 - T151 - U151 - V151 - W151 - X151 - Y151 - IF(J151="Yes", 150000, 0)))</f>
      </c>
      <c r="AA151" s="8">
        <f>IF(E151="","",IF(OR(L151&gt;0, E151&lt;&gt;""), 2400, 0))</f>
      </c>
      <c r="AB151" s="7"/>
      <c r="AC151" s="8">
        <f>IF(E151="","",MAX(0, MAX(0, Z151*0.1) + MAX(0, (Z151-24000)*0.15) + MAX(0, (Z151-32333)*0.05) + MAX(0, (Z151-500000)*0.025) + MAX(0, (Z151-800000)*0.025) - AA151 - AB151))</f>
      </c>
      <c r="AD151" s="8">
        <f>IF(E151="","",AC151)</f>
      </c>
    </row>
    <row r="152" spans="1:30" x14ac:dyDescent="0.25">
      <c r="A152" s="6"/>
      <c r="B152" s="6"/>
      <c r="C152" s="6"/>
      <c r="F152" s="6"/>
      <c r="G152" s="6"/>
      <c r="L152" s="7"/>
      <c r="M152" s="7"/>
      <c r="N152" s="7"/>
      <c r="O152" s="7"/>
      <c r="P152" s="7"/>
      <c r="Q152" s="7"/>
      <c r="R152" s="7"/>
      <c r="S152" s="8">
        <f>IF(E152="","",SUM(L152:O152) + Q152 + R152)</f>
      </c>
      <c r="T152" s="8">
        <f>IF(E152="","",S152*0.0275)</f>
      </c>
      <c r="U152" s="8">
        <f>IF(E152="","",IF(S152&gt;0, MIN(S152*0.06, 6480), 0))</f>
      </c>
      <c r="V152" s="7"/>
      <c r="W152" s="7"/>
      <c r="X152" s="7"/>
      <c r="Y152" s="8">
        <f>IF(E152="","",S152*0.015)</f>
      </c>
      <c r="Z152" s="8">
        <f>IF(E152="","",MAX(0, S152 - T152 - U152 - V152 - W152 - X152 - Y152 - IF(J152="Yes", 150000, 0)))</f>
      </c>
      <c r="AA152" s="8">
        <f>IF(E152="","",IF(OR(L152&gt;0, E152&lt;&gt;""), 2400, 0))</f>
      </c>
      <c r="AB152" s="7"/>
      <c r="AC152" s="8">
        <f>IF(E152="","",MAX(0, MAX(0, Z152*0.1) + MAX(0, (Z152-24000)*0.15) + MAX(0, (Z152-32333)*0.05) + MAX(0, (Z152-500000)*0.025) + MAX(0, (Z152-800000)*0.025) - AA152 - AB152))</f>
      </c>
      <c r="AD152" s="8">
        <f>IF(E152="","",AC152)</f>
      </c>
    </row>
    <row r="153" spans="1:30" x14ac:dyDescent="0.25">
      <c r="A153" s="6"/>
      <c r="B153" s="6"/>
      <c r="C153" s="6"/>
      <c r="F153" s="6"/>
      <c r="G153" s="6"/>
      <c r="L153" s="7"/>
      <c r="M153" s="7"/>
      <c r="N153" s="7"/>
      <c r="O153" s="7"/>
      <c r="P153" s="7"/>
      <c r="Q153" s="7"/>
      <c r="R153" s="7"/>
      <c r="S153" s="8">
        <f>IF(E153="","",SUM(L153:O153) + Q153 + R153)</f>
      </c>
      <c r="T153" s="8">
        <f>IF(E153="","",S153*0.0275)</f>
      </c>
      <c r="U153" s="8">
        <f>IF(E153="","",IF(S153&gt;0, MIN(S153*0.06, 6480), 0))</f>
      </c>
      <c r="V153" s="7"/>
      <c r="W153" s="7"/>
      <c r="X153" s="7"/>
      <c r="Y153" s="8">
        <f>IF(E153="","",S153*0.015)</f>
      </c>
      <c r="Z153" s="8">
        <f>IF(E153="","",MAX(0, S153 - T153 - U153 - V153 - W153 - X153 - Y153 - IF(J153="Yes", 150000, 0)))</f>
      </c>
      <c r="AA153" s="8">
        <f>IF(E153="","",IF(OR(L153&gt;0, E153&lt;&gt;""), 2400, 0))</f>
      </c>
      <c r="AB153" s="7"/>
      <c r="AC153" s="8">
        <f>IF(E153="","",MAX(0, MAX(0, Z153*0.1) + MAX(0, (Z153-24000)*0.15) + MAX(0, (Z153-32333)*0.05) + MAX(0, (Z153-500000)*0.025) + MAX(0, (Z153-800000)*0.025) - AA153 - AB153))</f>
      </c>
      <c r="AD153" s="8">
        <f>IF(E153="","",AC153)</f>
      </c>
    </row>
    <row r="154" spans="1:30" x14ac:dyDescent="0.25">
      <c r="A154" s="6"/>
      <c r="B154" s="6"/>
      <c r="C154" s="6"/>
      <c r="F154" s="6"/>
      <c r="G154" s="6"/>
      <c r="L154" s="7"/>
      <c r="M154" s="7"/>
      <c r="N154" s="7"/>
      <c r="O154" s="7"/>
      <c r="P154" s="7"/>
      <c r="Q154" s="7"/>
      <c r="R154" s="7"/>
      <c r="S154" s="8">
        <f>IF(E154="","",SUM(L154:O154) + Q154 + R154)</f>
      </c>
      <c r="T154" s="8">
        <f>IF(E154="","",S154*0.0275)</f>
      </c>
      <c r="U154" s="8">
        <f>IF(E154="","",IF(S154&gt;0, MIN(S154*0.06, 6480), 0))</f>
      </c>
      <c r="V154" s="7"/>
      <c r="W154" s="7"/>
      <c r="X154" s="7"/>
      <c r="Y154" s="8">
        <f>IF(E154="","",S154*0.015)</f>
      </c>
      <c r="Z154" s="8">
        <f>IF(E154="","",MAX(0, S154 - T154 - U154 - V154 - W154 - X154 - Y154 - IF(J154="Yes", 150000, 0)))</f>
      </c>
      <c r="AA154" s="8">
        <f>IF(E154="","",IF(OR(L154&gt;0, E154&lt;&gt;""), 2400, 0))</f>
      </c>
      <c r="AB154" s="7"/>
      <c r="AC154" s="8">
        <f>IF(E154="","",MAX(0, MAX(0, Z154*0.1) + MAX(0, (Z154-24000)*0.15) + MAX(0, (Z154-32333)*0.05) + MAX(0, (Z154-500000)*0.025) + MAX(0, (Z154-800000)*0.025) - AA154 - AB154))</f>
      </c>
      <c r="AD154" s="8">
        <f>IF(E154="","",AC154)</f>
      </c>
    </row>
    <row r="155" spans="1:30" x14ac:dyDescent="0.25">
      <c r="A155" s="6"/>
      <c r="B155" s="6"/>
      <c r="C155" s="6"/>
      <c r="F155" s="6"/>
      <c r="G155" s="6"/>
      <c r="L155" s="7"/>
      <c r="M155" s="7"/>
      <c r="N155" s="7"/>
      <c r="O155" s="7"/>
      <c r="P155" s="7"/>
      <c r="Q155" s="7"/>
      <c r="R155" s="7"/>
      <c r="S155" s="8">
        <f>IF(E155="","",SUM(L155:O155) + Q155 + R155)</f>
      </c>
      <c r="T155" s="8">
        <f>IF(E155="","",S155*0.0275)</f>
      </c>
      <c r="U155" s="8">
        <f>IF(E155="","",IF(S155&gt;0, MIN(S155*0.06, 6480), 0))</f>
      </c>
      <c r="V155" s="7"/>
      <c r="W155" s="7"/>
      <c r="X155" s="7"/>
      <c r="Y155" s="8">
        <f>IF(E155="","",S155*0.015)</f>
      </c>
      <c r="Z155" s="8">
        <f>IF(E155="","",MAX(0, S155 - T155 - U155 - V155 - W155 - X155 - Y155 - IF(J155="Yes", 150000, 0)))</f>
      </c>
      <c r="AA155" s="8">
        <f>IF(E155="","",IF(OR(L155&gt;0, E155&lt;&gt;""), 2400, 0))</f>
      </c>
      <c r="AB155" s="7"/>
      <c r="AC155" s="8">
        <f>IF(E155="","",MAX(0, MAX(0, Z155*0.1) + MAX(0, (Z155-24000)*0.15) + MAX(0, (Z155-32333)*0.05) + MAX(0, (Z155-500000)*0.025) + MAX(0, (Z155-800000)*0.025) - AA155 - AB155))</f>
      </c>
      <c r="AD155" s="8">
        <f>IF(E155="","",AC155)</f>
      </c>
    </row>
    <row r="156" spans="1:30" x14ac:dyDescent="0.25">
      <c r="A156" s="6"/>
      <c r="B156" s="6"/>
      <c r="C156" s="6"/>
      <c r="F156" s="6"/>
      <c r="G156" s="6"/>
      <c r="L156" s="7"/>
      <c r="M156" s="7"/>
      <c r="N156" s="7"/>
      <c r="O156" s="7"/>
      <c r="P156" s="7"/>
      <c r="Q156" s="7"/>
      <c r="R156" s="7"/>
      <c r="S156" s="8">
        <f>IF(E156="","",SUM(L156:O156) + Q156 + R156)</f>
      </c>
      <c r="T156" s="8">
        <f>IF(E156="","",S156*0.0275)</f>
      </c>
      <c r="U156" s="8">
        <f>IF(E156="","",IF(S156&gt;0, MIN(S156*0.06, 6480), 0))</f>
      </c>
      <c r="V156" s="7"/>
      <c r="W156" s="7"/>
      <c r="X156" s="7"/>
      <c r="Y156" s="8">
        <f>IF(E156="","",S156*0.015)</f>
      </c>
      <c r="Z156" s="8">
        <f>IF(E156="","",MAX(0, S156 - T156 - U156 - V156 - W156 - X156 - Y156 - IF(J156="Yes", 150000, 0)))</f>
      </c>
      <c r="AA156" s="8">
        <f>IF(E156="","",IF(OR(L156&gt;0, E156&lt;&gt;""), 2400, 0))</f>
      </c>
      <c r="AB156" s="7"/>
      <c r="AC156" s="8">
        <f>IF(E156="","",MAX(0, MAX(0, Z156*0.1) + MAX(0, (Z156-24000)*0.15) + MAX(0, (Z156-32333)*0.05) + MAX(0, (Z156-500000)*0.025) + MAX(0, (Z156-800000)*0.025) - AA156 - AB156))</f>
      </c>
      <c r="AD156" s="8">
        <f>IF(E156="","",AC156)</f>
      </c>
    </row>
    <row r="157" spans="1:30" x14ac:dyDescent="0.25">
      <c r="A157" s="6"/>
      <c r="B157" s="6"/>
      <c r="C157" s="6"/>
      <c r="F157" s="6"/>
      <c r="G157" s="6"/>
      <c r="L157" s="7"/>
      <c r="M157" s="7"/>
      <c r="N157" s="7"/>
      <c r="O157" s="7"/>
      <c r="P157" s="7"/>
      <c r="Q157" s="7"/>
      <c r="R157" s="7"/>
      <c r="S157" s="8">
        <f>IF(E157="","",SUM(L157:O157) + Q157 + R157)</f>
      </c>
      <c r="T157" s="8">
        <f>IF(E157="","",S157*0.0275)</f>
      </c>
      <c r="U157" s="8">
        <f>IF(E157="","",IF(S157&gt;0, MIN(S157*0.06, 6480), 0))</f>
      </c>
      <c r="V157" s="7"/>
      <c r="W157" s="7"/>
      <c r="X157" s="7"/>
      <c r="Y157" s="8">
        <f>IF(E157="","",S157*0.015)</f>
      </c>
      <c r="Z157" s="8">
        <f>IF(E157="","",MAX(0, S157 - T157 - U157 - V157 - W157 - X157 - Y157 - IF(J157="Yes", 150000, 0)))</f>
      </c>
      <c r="AA157" s="8">
        <f>IF(E157="","",IF(OR(L157&gt;0, E157&lt;&gt;""), 2400, 0))</f>
      </c>
      <c r="AB157" s="7"/>
      <c r="AC157" s="8">
        <f>IF(E157="","",MAX(0, MAX(0, Z157*0.1) + MAX(0, (Z157-24000)*0.15) + MAX(0, (Z157-32333)*0.05) + MAX(0, (Z157-500000)*0.025) + MAX(0, (Z157-800000)*0.025) - AA157 - AB157))</f>
      </c>
      <c r="AD157" s="8">
        <f>IF(E157="","",AC157)</f>
      </c>
    </row>
    <row r="158" spans="1:30" x14ac:dyDescent="0.25">
      <c r="A158" s="6"/>
      <c r="B158" s="6"/>
      <c r="C158" s="6"/>
      <c r="F158" s="6"/>
      <c r="G158" s="6"/>
      <c r="L158" s="7"/>
      <c r="M158" s="7"/>
      <c r="N158" s="7"/>
      <c r="O158" s="7"/>
      <c r="P158" s="7"/>
      <c r="Q158" s="7"/>
      <c r="R158" s="7"/>
      <c r="S158" s="8">
        <f>IF(E158="","",SUM(L158:O158) + Q158 + R158)</f>
      </c>
      <c r="T158" s="8">
        <f>IF(E158="","",S158*0.0275)</f>
      </c>
      <c r="U158" s="8">
        <f>IF(E158="","",IF(S158&gt;0, MIN(S158*0.06, 6480), 0))</f>
      </c>
      <c r="V158" s="7"/>
      <c r="W158" s="7"/>
      <c r="X158" s="7"/>
      <c r="Y158" s="8">
        <f>IF(E158="","",S158*0.015)</f>
      </c>
      <c r="Z158" s="8">
        <f>IF(E158="","",MAX(0, S158 - T158 - U158 - V158 - W158 - X158 - Y158 - IF(J158="Yes", 150000, 0)))</f>
      </c>
      <c r="AA158" s="8">
        <f>IF(E158="","",IF(OR(L158&gt;0, E158&lt;&gt;""), 2400, 0))</f>
      </c>
      <c r="AB158" s="7"/>
      <c r="AC158" s="8">
        <f>IF(E158="","",MAX(0, MAX(0, Z158*0.1) + MAX(0, (Z158-24000)*0.15) + MAX(0, (Z158-32333)*0.05) + MAX(0, (Z158-500000)*0.025) + MAX(0, (Z158-800000)*0.025) - AA158 - AB158))</f>
      </c>
      <c r="AD158" s="8">
        <f>IF(E158="","",AC158)</f>
      </c>
    </row>
    <row r="159" spans="1:30" x14ac:dyDescent="0.25">
      <c r="A159" s="6"/>
      <c r="B159" s="6"/>
      <c r="C159" s="6"/>
      <c r="F159" s="6"/>
      <c r="G159" s="6"/>
      <c r="L159" s="7"/>
      <c r="M159" s="7"/>
      <c r="N159" s="7"/>
      <c r="O159" s="7"/>
      <c r="P159" s="7"/>
      <c r="Q159" s="7"/>
      <c r="R159" s="7"/>
      <c r="S159" s="8">
        <f>IF(E159="","",SUM(L159:O159) + Q159 + R159)</f>
      </c>
      <c r="T159" s="8">
        <f>IF(E159="","",S159*0.0275)</f>
      </c>
      <c r="U159" s="8">
        <f>IF(E159="","",IF(S159&gt;0, MIN(S159*0.06, 6480), 0))</f>
      </c>
      <c r="V159" s="7"/>
      <c r="W159" s="7"/>
      <c r="X159" s="7"/>
      <c r="Y159" s="8">
        <f>IF(E159="","",S159*0.015)</f>
      </c>
      <c r="Z159" s="8">
        <f>IF(E159="","",MAX(0, S159 - T159 - U159 - V159 - W159 - X159 - Y159 - IF(J159="Yes", 150000, 0)))</f>
      </c>
      <c r="AA159" s="8">
        <f>IF(E159="","",IF(OR(L159&gt;0, E159&lt;&gt;""), 2400, 0))</f>
      </c>
      <c r="AB159" s="7"/>
      <c r="AC159" s="8">
        <f>IF(E159="","",MAX(0, MAX(0, Z159*0.1) + MAX(0, (Z159-24000)*0.15) + MAX(0, (Z159-32333)*0.05) + MAX(0, (Z159-500000)*0.025) + MAX(0, (Z159-800000)*0.025) - AA159 - AB159))</f>
      </c>
      <c r="AD159" s="8">
        <f>IF(E159="","",AC159)</f>
      </c>
    </row>
    <row r="160" spans="1:30" x14ac:dyDescent="0.25">
      <c r="A160" s="6"/>
      <c r="B160" s="6"/>
      <c r="C160" s="6"/>
      <c r="F160" s="6"/>
      <c r="G160" s="6"/>
      <c r="L160" s="7"/>
      <c r="M160" s="7"/>
      <c r="N160" s="7"/>
      <c r="O160" s="7"/>
      <c r="P160" s="7"/>
      <c r="Q160" s="7"/>
      <c r="R160" s="7"/>
      <c r="S160" s="8">
        <f>IF(E160="","",SUM(L160:O160) + Q160 + R160)</f>
      </c>
      <c r="T160" s="8">
        <f>IF(E160="","",S160*0.0275)</f>
      </c>
      <c r="U160" s="8">
        <f>IF(E160="","",IF(S160&gt;0, MIN(S160*0.06, 6480), 0))</f>
      </c>
      <c r="V160" s="7"/>
      <c r="W160" s="7"/>
      <c r="X160" s="7"/>
      <c r="Y160" s="8">
        <f>IF(E160="","",S160*0.015)</f>
      </c>
      <c r="Z160" s="8">
        <f>IF(E160="","",MAX(0, S160 - T160 - U160 - V160 - W160 - X160 - Y160 - IF(J160="Yes", 150000, 0)))</f>
      </c>
      <c r="AA160" s="8">
        <f>IF(E160="","",IF(OR(L160&gt;0, E160&lt;&gt;""), 2400, 0))</f>
      </c>
      <c r="AB160" s="7"/>
      <c r="AC160" s="8">
        <f>IF(E160="","",MAX(0, MAX(0, Z160*0.1) + MAX(0, (Z160-24000)*0.15) + MAX(0, (Z160-32333)*0.05) + MAX(0, (Z160-500000)*0.025) + MAX(0, (Z160-800000)*0.025) - AA160 - AB160))</f>
      </c>
      <c r="AD160" s="8">
        <f>IF(E160="","",AC160)</f>
      </c>
    </row>
    <row r="161" spans="1:30" x14ac:dyDescent="0.25">
      <c r="A161" s="6"/>
      <c r="B161" s="6"/>
      <c r="C161" s="6"/>
      <c r="F161" s="6"/>
      <c r="G161" s="6"/>
      <c r="L161" s="7"/>
      <c r="M161" s="7"/>
      <c r="N161" s="7"/>
      <c r="O161" s="7"/>
      <c r="P161" s="7"/>
      <c r="Q161" s="7"/>
      <c r="R161" s="7"/>
      <c r="S161" s="8">
        <f>IF(E161="","",SUM(L161:O161) + Q161 + R161)</f>
      </c>
      <c r="T161" s="8">
        <f>IF(E161="","",S161*0.0275)</f>
      </c>
      <c r="U161" s="8">
        <f>IF(E161="","",IF(S161&gt;0, MIN(S161*0.06, 6480), 0))</f>
      </c>
      <c r="V161" s="7"/>
      <c r="W161" s="7"/>
      <c r="X161" s="7"/>
      <c r="Y161" s="8">
        <f>IF(E161="","",S161*0.015)</f>
      </c>
      <c r="Z161" s="8">
        <f>IF(E161="","",MAX(0, S161 - T161 - U161 - V161 - W161 - X161 - Y161 - IF(J161="Yes", 150000, 0)))</f>
      </c>
      <c r="AA161" s="8">
        <f>IF(E161="","",IF(OR(L161&gt;0, E161&lt;&gt;""), 2400, 0))</f>
      </c>
      <c r="AB161" s="7"/>
      <c r="AC161" s="8">
        <f>IF(E161="","",MAX(0, MAX(0, Z161*0.1) + MAX(0, (Z161-24000)*0.15) + MAX(0, (Z161-32333)*0.05) + MAX(0, (Z161-500000)*0.025) + MAX(0, (Z161-800000)*0.025) - AA161 - AB161))</f>
      </c>
      <c r="AD161" s="8">
        <f>IF(E161="","",AC161)</f>
      </c>
    </row>
    <row r="162" spans="1:30" x14ac:dyDescent="0.25">
      <c r="A162" s="6"/>
      <c r="B162" s="6"/>
      <c r="C162" s="6"/>
      <c r="F162" s="6"/>
      <c r="G162" s="6"/>
      <c r="L162" s="7"/>
      <c r="M162" s="7"/>
      <c r="N162" s="7"/>
      <c r="O162" s="7"/>
      <c r="P162" s="7"/>
      <c r="Q162" s="7"/>
      <c r="R162" s="7"/>
      <c r="S162" s="8">
        <f>IF(E162="","",SUM(L162:O162) + Q162 + R162)</f>
      </c>
      <c r="T162" s="8">
        <f>IF(E162="","",S162*0.0275)</f>
      </c>
      <c r="U162" s="8">
        <f>IF(E162="","",IF(S162&gt;0, MIN(S162*0.06, 6480), 0))</f>
      </c>
      <c r="V162" s="7"/>
      <c r="W162" s="7"/>
      <c r="X162" s="7"/>
      <c r="Y162" s="8">
        <f>IF(E162="","",S162*0.015)</f>
      </c>
      <c r="Z162" s="8">
        <f>IF(E162="","",MAX(0, S162 - T162 - U162 - V162 - W162 - X162 - Y162 - IF(J162="Yes", 150000, 0)))</f>
      </c>
      <c r="AA162" s="8">
        <f>IF(E162="","",IF(OR(L162&gt;0, E162&lt;&gt;""), 2400, 0))</f>
      </c>
      <c r="AB162" s="7"/>
      <c r="AC162" s="8">
        <f>IF(E162="","",MAX(0, MAX(0, Z162*0.1) + MAX(0, (Z162-24000)*0.15) + MAX(0, (Z162-32333)*0.05) + MAX(0, (Z162-500000)*0.025) + MAX(0, (Z162-800000)*0.025) - AA162 - AB162))</f>
      </c>
      <c r="AD162" s="8">
        <f>IF(E162="","",AC162)</f>
      </c>
    </row>
    <row r="163" spans="1:30" x14ac:dyDescent="0.25">
      <c r="A163" s="6"/>
      <c r="B163" s="6"/>
      <c r="C163" s="6"/>
      <c r="F163" s="6"/>
      <c r="G163" s="6"/>
      <c r="L163" s="7"/>
      <c r="M163" s="7"/>
      <c r="N163" s="7"/>
      <c r="O163" s="7"/>
      <c r="P163" s="7"/>
      <c r="Q163" s="7"/>
      <c r="R163" s="7"/>
      <c r="S163" s="8">
        <f>IF(E163="","",SUM(L163:O163) + Q163 + R163)</f>
      </c>
      <c r="T163" s="8">
        <f>IF(E163="","",S163*0.0275)</f>
      </c>
      <c r="U163" s="8">
        <f>IF(E163="","",IF(S163&gt;0, MIN(S163*0.06, 6480), 0))</f>
      </c>
      <c r="V163" s="7"/>
      <c r="W163" s="7"/>
      <c r="X163" s="7"/>
      <c r="Y163" s="8">
        <f>IF(E163="","",S163*0.015)</f>
      </c>
      <c r="Z163" s="8">
        <f>IF(E163="","",MAX(0, S163 - T163 - U163 - V163 - W163 - X163 - Y163 - IF(J163="Yes", 150000, 0)))</f>
      </c>
      <c r="AA163" s="8">
        <f>IF(E163="","",IF(OR(L163&gt;0, E163&lt;&gt;""), 2400, 0))</f>
      </c>
      <c r="AB163" s="7"/>
      <c r="AC163" s="8">
        <f>IF(E163="","",MAX(0, MAX(0, Z163*0.1) + MAX(0, (Z163-24000)*0.15) + MAX(0, (Z163-32333)*0.05) + MAX(0, (Z163-500000)*0.025) + MAX(0, (Z163-800000)*0.025) - AA163 - AB163))</f>
      </c>
      <c r="AD163" s="8">
        <f>IF(E163="","",AC163)</f>
      </c>
    </row>
    <row r="164" spans="1:30" x14ac:dyDescent="0.25">
      <c r="A164" s="6"/>
      <c r="B164" s="6"/>
      <c r="C164" s="6"/>
      <c r="F164" s="6"/>
      <c r="G164" s="6"/>
      <c r="L164" s="7"/>
      <c r="M164" s="7"/>
      <c r="N164" s="7"/>
      <c r="O164" s="7"/>
      <c r="P164" s="7"/>
      <c r="Q164" s="7"/>
      <c r="R164" s="7"/>
      <c r="S164" s="8">
        <f>IF(E164="","",SUM(L164:O164) + Q164 + R164)</f>
      </c>
      <c r="T164" s="8">
        <f>IF(E164="","",S164*0.0275)</f>
      </c>
      <c r="U164" s="8">
        <f>IF(E164="","",IF(S164&gt;0, MIN(S164*0.06, 6480), 0))</f>
      </c>
      <c r="V164" s="7"/>
      <c r="W164" s="7"/>
      <c r="X164" s="7"/>
      <c r="Y164" s="8">
        <f>IF(E164="","",S164*0.015)</f>
      </c>
      <c r="Z164" s="8">
        <f>IF(E164="","",MAX(0, S164 - T164 - U164 - V164 - W164 - X164 - Y164 - IF(J164="Yes", 150000, 0)))</f>
      </c>
      <c r="AA164" s="8">
        <f>IF(E164="","",IF(OR(L164&gt;0, E164&lt;&gt;""), 2400, 0))</f>
      </c>
      <c r="AB164" s="7"/>
      <c r="AC164" s="8">
        <f>IF(E164="","",MAX(0, MAX(0, Z164*0.1) + MAX(0, (Z164-24000)*0.15) + MAX(0, (Z164-32333)*0.05) + MAX(0, (Z164-500000)*0.025) + MAX(0, (Z164-800000)*0.025) - AA164 - AB164))</f>
      </c>
      <c r="AD164" s="8">
        <f>IF(E164="","",AC164)</f>
      </c>
    </row>
    <row r="165" spans="1:30" x14ac:dyDescent="0.25">
      <c r="A165" s="6"/>
      <c r="B165" s="6"/>
      <c r="C165" s="6"/>
      <c r="F165" s="6"/>
      <c r="G165" s="6"/>
      <c r="L165" s="7"/>
      <c r="M165" s="7"/>
      <c r="N165" s="7"/>
      <c r="O165" s="7"/>
      <c r="P165" s="7"/>
      <c r="Q165" s="7"/>
      <c r="R165" s="7"/>
      <c r="S165" s="8">
        <f>IF(E165="","",SUM(L165:O165) + Q165 + R165)</f>
      </c>
      <c r="T165" s="8">
        <f>IF(E165="","",S165*0.0275)</f>
      </c>
      <c r="U165" s="8">
        <f>IF(E165="","",IF(S165&gt;0, MIN(S165*0.06, 6480), 0))</f>
      </c>
      <c r="V165" s="7"/>
      <c r="W165" s="7"/>
      <c r="X165" s="7"/>
      <c r="Y165" s="8">
        <f>IF(E165="","",S165*0.015)</f>
      </c>
      <c r="Z165" s="8">
        <f>IF(E165="","",MAX(0, S165 - T165 - U165 - V165 - W165 - X165 - Y165 - IF(J165="Yes", 150000, 0)))</f>
      </c>
      <c r="AA165" s="8">
        <f>IF(E165="","",IF(OR(L165&gt;0, E165&lt;&gt;""), 2400, 0))</f>
      </c>
      <c r="AB165" s="7"/>
      <c r="AC165" s="8">
        <f>IF(E165="","",MAX(0, MAX(0, Z165*0.1) + MAX(0, (Z165-24000)*0.15) + MAX(0, (Z165-32333)*0.05) + MAX(0, (Z165-500000)*0.025) + MAX(0, (Z165-800000)*0.025) - AA165 - AB165))</f>
      </c>
      <c r="AD165" s="8">
        <f>IF(E165="","",AC165)</f>
      </c>
    </row>
    <row r="166" spans="1:30" x14ac:dyDescent="0.25">
      <c r="A166" s="6"/>
      <c r="B166" s="6"/>
      <c r="C166" s="6"/>
      <c r="F166" s="6"/>
      <c r="G166" s="6"/>
      <c r="L166" s="7"/>
      <c r="M166" s="7"/>
      <c r="N166" s="7"/>
      <c r="O166" s="7"/>
      <c r="P166" s="7"/>
      <c r="Q166" s="7"/>
      <c r="R166" s="7"/>
      <c r="S166" s="8">
        <f>IF(E166="","",SUM(L166:O166) + Q166 + R166)</f>
      </c>
      <c r="T166" s="8">
        <f>IF(E166="","",S166*0.0275)</f>
      </c>
      <c r="U166" s="8">
        <f>IF(E166="","",IF(S166&gt;0, MIN(S166*0.06, 6480), 0))</f>
      </c>
      <c r="V166" s="7"/>
      <c r="W166" s="7"/>
      <c r="X166" s="7"/>
      <c r="Y166" s="8">
        <f>IF(E166="","",S166*0.015)</f>
      </c>
      <c r="Z166" s="8">
        <f>IF(E166="","",MAX(0, S166 - T166 - U166 - V166 - W166 - X166 - Y166 - IF(J166="Yes", 150000, 0)))</f>
      </c>
      <c r="AA166" s="8">
        <f>IF(E166="","",IF(OR(L166&gt;0, E166&lt;&gt;""), 2400, 0))</f>
      </c>
      <c r="AB166" s="7"/>
      <c r="AC166" s="8">
        <f>IF(E166="","",MAX(0, MAX(0, Z166*0.1) + MAX(0, (Z166-24000)*0.15) + MAX(0, (Z166-32333)*0.05) + MAX(0, (Z166-500000)*0.025) + MAX(0, (Z166-800000)*0.025) - AA166 - AB166))</f>
      </c>
      <c r="AD166" s="8">
        <f>IF(E166="","",AC166)</f>
      </c>
    </row>
    <row r="167" spans="1:30" x14ac:dyDescent="0.25">
      <c r="A167" s="6"/>
      <c r="B167" s="6"/>
      <c r="C167" s="6"/>
      <c r="F167" s="6"/>
      <c r="G167" s="6"/>
      <c r="L167" s="7"/>
      <c r="M167" s="7"/>
      <c r="N167" s="7"/>
      <c r="O167" s="7"/>
      <c r="P167" s="7"/>
      <c r="Q167" s="7"/>
      <c r="R167" s="7"/>
      <c r="S167" s="8">
        <f>IF(E167="","",SUM(L167:O167) + Q167 + R167)</f>
      </c>
      <c r="T167" s="8">
        <f>IF(E167="","",S167*0.0275)</f>
      </c>
      <c r="U167" s="8">
        <f>IF(E167="","",IF(S167&gt;0, MIN(S167*0.06, 6480), 0))</f>
      </c>
      <c r="V167" s="7"/>
      <c r="W167" s="7"/>
      <c r="X167" s="7"/>
      <c r="Y167" s="8">
        <f>IF(E167="","",S167*0.015)</f>
      </c>
      <c r="Z167" s="8">
        <f>IF(E167="","",MAX(0, S167 - T167 - U167 - V167 - W167 - X167 - Y167 - IF(J167="Yes", 150000, 0)))</f>
      </c>
      <c r="AA167" s="8">
        <f>IF(E167="","",IF(OR(L167&gt;0, E167&lt;&gt;""), 2400, 0))</f>
      </c>
      <c r="AB167" s="7"/>
      <c r="AC167" s="8">
        <f>IF(E167="","",MAX(0, MAX(0, Z167*0.1) + MAX(0, (Z167-24000)*0.15) + MAX(0, (Z167-32333)*0.05) + MAX(0, (Z167-500000)*0.025) + MAX(0, (Z167-800000)*0.025) - AA167 - AB167))</f>
      </c>
      <c r="AD167" s="8">
        <f>IF(E167="","",AC167)</f>
      </c>
    </row>
    <row r="168" spans="1:30" x14ac:dyDescent="0.25">
      <c r="A168" s="6"/>
      <c r="B168" s="6"/>
      <c r="C168" s="6"/>
      <c r="F168" s="6"/>
      <c r="G168" s="6"/>
      <c r="L168" s="7"/>
      <c r="M168" s="7"/>
      <c r="N168" s="7"/>
      <c r="O168" s="7"/>
      <c r="P168" s="7"/>
      <c r="Q168" s="7"/>
      <c r="R168" s="7"/>
      <c r="S168" s="8">
        <f>IF(E168="","",SUM(L168:O168) + Q168 + R168)</f>
      </c>
      <c r="T168" s="8">
        <f>IF(E168="","",S168*0.0275)</f>
      </c>
      <c r="U168" s="8">
        <f>IF(E168="","",IF(S168&gt;0, MIN(S168*0.06, 6480), 0))</f>
      </c>
      <c r="V168" s="7"/>
      <c r="W168" s="7"/>
      <c r="X168" s="7"/>
      <c r="Y168" s="8">
        <f>IF(E168="","",S168*0.015)</f>
      </c>
      <c r="Z168" s="8">
        <f>IF(E168="","",MAX(0, S168 - T168 - U168 - V168 - W168 - X168 - Y168 - IF(J168="Yes", 150000, 0)))</f>
      </c>
      <c r="AA168" s="8">
        <f>IF(E168="","",IF(OR(L168&gt;0, E168&lt;&gt;""), 2400, 0))</f>
      </c>
      <c r="AB168" s="7"/>
      <c r="AC168" s="8">
        <f>IF(E168="","",MAX(0, MAX(0, Z168*0.1) + MAX(0, (Z168-24000)*0.15) + MAX(0, (Z168-32333)*0.05) + MAX(0, (Z168-500000)*0.025) + MAX(0, (Z168-800000)*0.025) - AA168 - AB168))</f>
      </c>
      <c r="AD168" s="8">
        <f>IF(E168="","",AC168)</f>
      </c>
    </row>
    <row r="169" spans="1:30" x14ac:dyDescent="0.25">
      <c r="A169" s="6"/>
      <c r="B169" s="6"/>
      <c r="C169" s="6"/>
      <c r="F169" s="6"/>
      <c r="G169" s="6"/>
      <c r="L169" s="7"/>
      <c r="M169" s="7"/>
      <c r="N169" s="7"/>
      <c r="O169" s="7"/>
      <c r="P169" s="7"/>
      <c r="Q169" s="7"/>
      <c r="R169" s="7"/>
      <c r="S169" s="8">
        <f>IF(E169="","",SUM(L169:O169) + Q169 + R169)</f>
      </c>
      <c r="T169" s="8">
        <f>IF(E169="","",S169*0.0275)</f>
      </c>
      <c r="U169" s="8">
        <f>IF(E169="","",IF(S169&gt;0, MIN(S169*0.06, 6480), 0))</f>
      </c>
      <c r="V169" s="7"/>
      <c r="W169" s="7"/>
      <c r="X169" s="7"/>
      <c r="Y169" s="8">
        <f>IF(E169="","",S169*0.015)</f>
      </c>
      <c r="Z169" s="8">
        <f>IF(E169="","",MAX(0, S169 - T169 - U169 - V169 - W169 - X169 - Y169 - IF(J169="Yes", 150000, 0)))</f>
      </c>
      <c r="AA169" s="8">
        <f>IF(E169="","",IF(OR(L169&gt;0, E169&lt;&gt;""), 2400, 0))</f>
      </c>
      <c r="AB169" s="7"/>
      <c r="AC169" s="8">
        <f>IF(E169="","",MAX(0, MAX(0, Z169*0.1) + MAX(0, (Z169-24000)*0.15) + MAX(0, (Z169-32333)*0.05) + MAX(0, (Z169-500000)*0.025) + MAX(0, (Z169-800000)*0.025) - AA169 - AB169))</f>
      </c>
      <c r="AD169" s="8">
        <f>IF(E169="","",AC169)</f>
      </c>
    </row>
    <row r="170" spans="1:30" x14ac:dyDescent="0.25">
      <c r="A170" s="6"/>
      <c r="B170" s="6"/>
      <c r="C170" s="6"/>
      <c r="F170" s="6"/>
      <c r="G170" s="6"/>
      <c r="L170" s="7"/>
      <c r="M170" s="7"/>
      <c r="N170" s="7"/>
      <c r="O170" s="7"/>
      <c r="P170" s="7"/>
      <c r="Q170" s="7"/>
      <c r="R170" s="7"/>
      <c r="S170" s="8">
        <f>IF(E170="","",SUM(L170:O170) + Q170 + R170)</f>
      </c>
      <c r="T170" s="8">
        <f>IF(E170="","",S170*0.0275)</f>
      </c>
      <c r="U170" s="8">
        <f>IF(E170="","",IF(S170&gt;0, MIN(S170*0.06, 6480), 0))</f>
      </c>
      <c r="V170" s="7"/>
      <c r="W170" s="7"/>
      <c r="X170" s="7"/>
      <c r="Y170" s="8">
        <f>IF(E170="","",S170*0.015)</f>
      </c>
      <c r="Z170" s="8">
        <f>IF(E170="","",MAX(0, S170 - T170 - U170 - V170 - W170 - X170 - Y170 - IF(J170="Yes", 150000, 0)))</f>
      </c>
      <c r="AA170" s="8">
        <f>IF(E170="","",IF(OR(L170&gt;0, E170&lt;&gt;""), 2400, 0))</f>
      </c>
      <c r="AB170" s="7"/>
      <c r="AC170" s="8">
        <f>IF(E170="","",MAX(0, MAX(0, Z170*0.1) + MAX(0, (Z170-24000)*0.15) + MAX(0, (Z170-32333)*0.05) + MAX(0, (Z170-500000)*0.025) + MAX(0, (Z170-800000)*0.025) - AA170 - AB170))</f>
      </c>
      <c r="AD170" s="8">
        <f>IF(E170="","",AC170)</f>
      </c>
    </row>
    <row r="171" spans="1:30" x14ac:dyDescent="0.25">
      <c r="A171" s="6"/>
      <c r="B171" s="6"/>
      <c r="C171" s="6"/>
      <c r="F171" s="6"/>
      <c r="G171" s="6"/>
      <c r="L171" s="7"/>
      <c r="M171" s="7"/>
      <c r="N171" s="7"/>
      <c r="O171" s="7"/>
      <c r="P171" s="7"/>
      <c r="Q171" s="7"/>
      <c r="R171" s="7"/>
      <c r="S171" s="8">
        <f>IF(E171="","",SUM(L171:O171) + Q171 + R171)</f>
      </c>
      <c r="T171" s="8">
        <f>IF(E171="","",S171*0.0275)</f>
      </c>
      <c r="U171" s="8">
        <f>IF(E171="","",IF(S171&gt;0, MIN(S171*0.06, 6480), 0))</f>
      </c>
      <c r="V171" s="7"/>
      <c r="W171" s="7"/>
      <c r="X171" s="7"/>
      <c r="Y171" s="8">
        <f>IF(E171="","",S171*0.015)</f>
      </c>
      <c r="Z171" s="8">
        <f>IF(E171="","",MAX(0, S171 - T171 - U171 - V171 - W171 - X171 - Y171 - IF(J171="Yes", 150000, 0)))</f>
      </c>
      <c r="AA171" s="8">
        <f>IF(E171="","",IF(OR(L171&gt;0, E171&lt;&gt;""), 2400, 0))</f>
      </c>
      <c r="AB171" s="7"/>
      <c r="AC171" s="8">
        <f>IF(E171="","",MAX(0, MAX(0, Z171*0.1) + MAX(0, (Z171-24000)*0.15) + MAX(0, (Z171-32333)*0.05) + MAX(0, (Z171-500000)*0.025) + MAX(0, (Z171-800000)*0.025) - AA171 - AB171))</f>
      </c>
      <c r="AD171" s="8">
        <f>IF(E171="","",AC171)</f>
      </c>
    </row>
    <row r="172" spans="1:30" x14ac:dyDescent="0.25">
      <c r="A172" s="6"/>
      <c r="B172" s="6"/>
      <c r="C172" s="6"/>
      <c r="F172" s="6"/>
      <c r="G172" s="6"/>
      <c r="L172" s="7"/>
      <c r="M172" s="7"/>
      <c r="N172" s="7"/>
      <c r="O172" s="7"/>
      <c r="P172" s="7"/>
      <c r="Q172" s="7"/>
      <c r="R172" s="7"/>
      <c r="S172" s="8">
        <f>IF(E172="","",SUM(L172:O172) + Q172 + R172)</f>
      </c>
      <c r="T172" s="8">
        <f>IF(E172="","",S172*0.0275)</f>
      </c>
      <c r="U172" s="8">
        <f>IF(E172="","",IF(S172&gt;0, MIN(S172*0.06, 6480), 0))</f>
      </c>
      <c r="V172" s="7"/>
      <c r="W172" s="7"/>
      <c r="X172" s="7"/>
      <c r="Y172" s="8">
        <f>IF(E172="","",S172*0.015)</f>
      </c>
      <c r="Z172" s="8">
        <f>IF(E172="","",MAX(0, S172 - T172 - U172 - V172 - W172 - X172 - Y172 - IF(J172="Yes", 150000, 0)))</f>
      </c>
      <c r="AA172" s="8">
        <f>IF(E172="","",IF(OR(L172&gt;0, E172&lt;&gt;""), 2400, 0))</f>
      </c>
      <c r="AB172" s="7"/>
      <c r="AC172" s="8">
        <f>IF(E172="","",MAX(0, MAX(0, Z172*0.1) + MAX(0, (Z172-24000)*0.15) + MAX(0, (Z172-32333)*0.05) + MAX(0, (Z172-500000)*0.025) + MAX(0, (Z172-800000)*0.025) - AA172 - AB172))</f>
      </c>
      <c r="AD172" s="8">
        <f>IF(E172="","",AC172)</f>
      </c>
    </row>
    <row r="173" spans="1:30" x14ac:dyDescent="0.25">
      <c r="A173" s="6"/>
      <c r="B173" s="6"/>
      <c r="C173" s="6"/>
      <c r="F173" s="6"/>
      <c r="G173" s="6"/>
      <c r="L173" s="7"/>
      <c r="M173" s="7"/>
      <c r="N173" s="7"/>
      <c r="O173" s="7"/>
      <c r="P173" s="7"/>
      <c r="Q173" s="7"/>
      <c r="R173" s="7"/>
      <c r="S173" s="8">
        <f>IF(E173="","",SUM(L173:O173) + Q173 + R173)</f>
      </c>
      <c r="T173" s="8">
        <f>IF(E173="","",S173*0.0275)</f>
      </c>
      <c r="U173" s="8">
        <f>IF(E173="","",IF(S173&gt;0, MIN(S173*0.06, 6480), 0))</f>
      </c>
      <c r="V173" s="7"/>
      <c r="W173" s="7"/>
      <c r="X173" s="7"/>
      <c r="Y173" s="8">
        <f>IF(E173="","",S173*0.015)</f>
      </c>
      <c r="Z173" s="8">
        <f>IF(E173="","",MAX(0, S173 - T173 - U173 - V173 - W173 - X173 - Y173 - IF(J173="Yes", 150000, 0)))</f>
      </c>
      <c r="AA173" s="8">
        <f>IF(E173="","",IF(OR(L173&gt;0, E173&lt;&gt;""), 2400, 0))</f>
      </c>
      <c r="AB173" s="7"/>
      <c r="AC173" s="8">
        <f>IF(E173="","",MAX(0, MAX(0, Z173*0.1) + MAX(0, (Z173-24000)*0.15) + MAX(0, (Z173-32333)*0.05) + MAX(0, (Z173-500000)*0.025) + MAX(0, (Z173-800000)*0.025) - AA173 - AB173))</f>
      </c>
      <c r="AD173" s="8">
        <f>IF(E173="","",AC173)</f>
      </c>
    </row>
    <row r="174" spans="1:30" x14ac:dyDescent="0.25">
      <c r="A174" s="6"/>
      <c r="B174" s="6"/>
      <c r="C174" s="6"/>
      <c r="F174" s="6"/>
      <c r="G174" s="6"/>
      <c r="L174" s="7"/>
      <c r="M174" s="7"/>
      <c r="N174" s="7"/>
      <c r="O174" s="7"/>
      <c r="P174" s="7"/>
      <c r="Q174" s="7"/>
      <c r="R174" s="7"/>
      <c r="S174" s="8">
        <f>IF(E174="","",SUM(L174:O174) + Q174 + R174)</f>
      </c>
      <c r="T174" s="8">
        <f>IF(E174="","",S174*0.0275)</f>
      </c>
      <c r="U174" s="8">
        <f>IF(E174="","",IF(S174&gt;0, MIN(S174*0.06, 6480), 0))</f>
      </c>
      <c r="V174" s="7"/>
      <c r="W174" s="7"/>
      <c r="X174" s="7"/>
      <c r="Y174" s="8">
        <f>IF(E174="","",S174*0.015)</f>
      </c>
      <c r="Z174" s="8">
        <f>IF(E174="","",MAX(0, S174 - T174 - U174 - V174 - W174 - X174 - Y174 - IF(J174="Yes", 150000, 0)))</f>
      </c>
      <c r="AA174" s="8">
        <f>IF(E174="","",IF(OR(L174&gt;0, E174&lt;&gt;""), 2400, 0))</f>
      </c>
      <c r="AB174" s="7"/>
      <c r="AC174" s="8">
        <f>IF(E174="","",MAX(0, MAX(0, Z174*0.1) + MAX(0, (Z174-24000)*0.15) + MAX(0, (Z174-32333)*0.05) + MAX(0, (Z174-500000)*0.025) + MAX(0, (Z174-800000)*0.025) - AA174 - AB174))</f>
      </c>
      <c r="AD174" s="8">
        <f>IF(E174="","",AC174)</f>
      </c>
    </row>
    <row r="175" spans="1:30" x14ac:dyDescent="0.25">
      <c r="A175" s="6"/>
      <c r="B175" s="6"/>
      <c r="C175" s="6"/>
      <c r="F175" s="6"/>
      <c r="G175" s="6"/>
      <c r="L175" s="7"/>
      <c r="M175" s="7"/>
      <c r="N175" s="7"/>
      <c r="O175" s="7"/>
      <c r="P175" s="7"/>
      <c r="Q175" s="7"/>
      <c r="R175" s="7"/>
      <c r="S175" s="8">
        <f>IF(E175="","",SUM(L175:O175) + Q175 + R175)</f>
      </c>
      <c r="T175" s="8">
        <f>IF(E175="","",S175*0.0275)</f>
      </c>
      <c r="U175" s="8">
        <f>IF(E175="","",IF(S175&gt;0, MIN(S175*0.06, 6480), 0))</f>
      </c>
      <c r="V175" s="7"/>
      <c r="W175" s="7"/>
      <c r="X175" s="7"/>
      <c r="Y175" s="8">
        <f>IF(E175="","",S175*0.015)</f>
      </c>
      <c r="Z175" s="8">
        <f>IF(E175="","",MAX(0, S175 - T175 - U175 - V175 - W175 - X175 - Y175 - IF(J175="Yes", 150000, 0)))</f>
      </c>
      <c r="AA175" s="8">
        <f>IF(E175="","",IF(OR(L175&gt;0, E175&lt;&gt;""), 2400, 0))</f>
      </c>
      <c r="AB175" s="7"/>
      <c r="AC175" s="8">
        <f>IF(E175="","",MAX(0, MAX(0, Z175*0.1) + MAX(0, (Z175-24000)*0.15) + MAX(0, (Z175-32333)*0.05) + MAX(0, (Z175-500000)*0.025) + MAX(0, (Z175-800000)*0.025) - AA175 - AB175))</f>
      </c>
      <c r="AD175" s="8">
        <f>IF(E175="","",AC175)</f>
      </c>
    </row>
    <row r="176" spans="1:30" x14ac:dyDescent="0.25">
      <c r="A176" s="6"/>
      <c r="B176" s="6"/>
      <c r="C176" s="6"/>
      <c r="F176" s="6"/>
      <c r="G176" s="6"/>
      <c r="L176" s="7"/>
      <c r="M176" s="7"/>
      <c r="N176" s="7"/>
      <c r="O176" s="7"/>
      <c r="P176" s="7"/>
      <c r="Q176" s="7"/>
      <c r="R176" s="7"/>
      <c r="S176" s="8">
        <f>IF(E176="","",SUM(L176:O176) + Q176 + R176)</f>
      </c>
      <c r="T176" s="8">
        <f>IF(E176="","",S176*0.0275)</f>
      </c>
      <c r="U176" s="8">
        <f>IF(E176="","",IF(S176&gt;0, MIN(S176*0.06, 6480), 0))</f>
      </c>
      <c r="V176" s="7"/>
      <c r="W176" s="7"/>
      <c r="X176" s="7"/>
      <c r="Y176" s="8">
        <f>IF(E176="","",S176*0.015)</f>
      </c>
      <c r="Z176" s="8">
        <f>IF(E176="","",MAX(0, S176 - T176 - U176 - V176 - W176 - X176 - Y176 - IF(J176="Yes", 150000, 0)))</f>
      </c>
      <c r="AA176" s="8">
        <f>IF(E176="","",IF(OR(L176&gt;0, E176&lt;&gt;""), 2400, 0))</f>
      </c>
      <c r="AB176" s="7"/>
      <c r="AC176" s="8">
        <f>IF(E176="","",MAX(0, MAX(0, Z176*0.1) + MAX(0, (Z176-24000)*0.15) + MAX(0, (Z176-32333)*0.05) + MAX(0, (Z176-500000)*0.025) + MAX(0, (Z176-800000)*0.025) - AA176 - AB176))</f>
      </c>
      <c r="AD176" s="8">
        <f>IF(E176="","",AC176)</f>
      </c>
    </row>
    <row r="177" spans="1:30" x14ac:dyDescent="0.25">
      <c r="A177" s="6"/>
      <c r="B177" s="6"/>
      <c r="C177" s="6"/>
      <c r="F177" s="6"/>
      <c r="G177" s="6"/>
      <c r="L177" s="7"/>
      <c r="M177" s="7"/>
      <c r="N177" s="7"/>
      <c r="O177" s="7"/>
      <c r="P177" s="7"/>
      <c r="Q177" s="7"/>
      <c r="R177" s="7"/>
      <c r="S177" s="8">
        <f>IF(E177="","",SUM(L177:O177) + Q177 + R177)</f>
      </c>
      <c r="T177" s="8">
        <f>IF(E177="","",S177*0.0275)</f>
      </c>
      <c r="U177" s="8">
        <f>IF(E177="","",IF(S177&gt;0, MIN(S177*0.06, 6480), 0))</f>
      </c>
      <c r="V177" s="7"/>
      <c r="W177" s="7"/>
      <c r="X177" s="7"/>
      <c r="Y177" s="8">
        <f>IF(E177="","",S177*0.015)</f>
      </c>
      <c r="Z177" s="8">
        <f>IF(E177="","",MAX(0, S177 - T177 - U177 - V177 - W177 - X177 - Y177 - IF(J177="Yes", 150000, 0)))</f>
      </c>
      <c r="AA177" s="8">
        <f>IF(E177="","",IF(OR(L177&gt;0, E177&lt;&gt;""), 2400, 0))</f>
      </c>
      <c r="AB177" s="7"/>
      <c r="AC177" s="8">
        <f>IF(E177="","",MAX(0, MAX(0, Z177*0.1) + MAX(0, (Z177-24000)*0.15) + MAX(0, (Z177-32333)*0.05) + MAX(0, (Z177-500000)*0.025) + MAX(0, (Z177-800000)*0.025) - AA177 - AB177))</f>
      </c>
      <c r="AD177" s="8">
        <f>IF(E177="","",AC177)</f>
      </c>
    </row>
    <row r="178" spans="1:30" x14ac:dyDescent="0.25">
      <c r="A178" s="6"/>
      <c r="B178" s="6"/>
      <c r="C178" s="6"/>
      <c r="F178" s="6"/>
      <c r="G178" s="6"/>
      <c r="L178" s="7"/>
      <c r="M178" s="7"/>
      <c r="N178" s="7"/>
      <c r="O178" s="7"/>
      <c r="P178" s="7"/>
      <c r="Q178" s="7"/>
      <c r="R178" s="7"/>
      <c r="S178" s="8">
        <f>IF(E178="","",SUM(L178:O178) + Q178 + R178)</f>
      </c>
      <c r="T178" s="8">
        <f>IF(E178="","",S178*0.0275)</f>
      </c>
      <c r="U178" s="8">
        <f>IF(E178="","",IF(S178&gt;0, MIN(S178*0.06, 6480), 0))</f>
      </c>
      <c r="V178" s="7"/>
      <c r="W178" s="7"/>
      <c r="X178" s="7"/>
      <c r="Y178" s="8">
        <f>IF(E178="","",S178*0.015)</f>
      </c>
      <c r="Z178" s="8">
        <f>IF(E178="","",MAX(0, S178 - T178 - U178 - V178 - W178 - X178 - Y178 - IF(J178="Yes", 150000, 0)))</f>
      </c>
      <c r="AA178" s="8">
        <f>IF(E178="","",IF(OR(L178&gt;0, E178&lt;&gt;""), 2400, 0))</f>
      </c>
      <c r="AB178" s="7"/>
      <c r="AC178" s="8">
        <f>IF(E178="","",MAX(0, MAX(0, Z178*0.1) + MAX(0, (Z178-24000)*0.15) + MAX(0, (Z178-32333)*0.05) + MAX(0, (Z178-500000)*0.025) + MAX(0, (Z178-800000)*0.025) - AA178 - AB178))</f>
      </c>
      <c r="AD178" s="8">
        <f>IF(E178="","",AC178)</f>
      </c>
    </row>
    <row r="179" spans="1:30" x14ac:dyDescent="0.25">
      <c r="A179" s="6"/>
      <c r="B179" s="6"/>
      <c r="C179" s="6"/>
      <c r="F179" s="6"/>
      <c r="G179" s="6"/>
      <c r="L179" s="7"/>
      <c r="M179" s="7"/>
      <c r="N179" s="7"/>
      <c r="O179" s="7"/>
      <c r="P179" s="7"/>
      <c r="Q179" s="7"/>
      <c r="R179" s="7"/>
      <c r="S179" s="8">
        <f>IF(E179="","",SUM(L179:O179) + Q179 + R179)</f>
      </c>
      <c r="T179" s="8">
        <f>IF(E179="","",S179*0.0275)</f>
      </c>
      <c r="U179" s="8">
        <f>IF(E179="","",IF(S179&gt;0, MIN(S179*0.06, 6480), 0))</f>
      </c>
      <c r="V179" s="7"/>
      <c r="W179" s="7"/>
      <c r="X179" s="7"/>
      <c r="Y179" s="8">
        <f>IF(E179="","",S179*0.015)</f>
      </c>
      <c r="Z179" s="8">
        <f>IF(E179="","",MAX(0, S179 - T179 - U179 - V179 - W179 - X179 - Y179 - IF(J179="Yes", 150000, 0)))</f>
      </c>
      <c r="AA179" s="8">
        <f>IF(E179="","",IF(OR(L179&gt;0, E179&lt;&gt;""), 2400, 0))</f>
      </c>
      <c r="AB179" s="7"/>
      <c r="AC179" s="8">
        <f>IF(E179="","",MAX(0, MAX(0, Z179*0.1) + MAX(0, (Z179-24000)*0.15) + MAX(0, (Z179-32333)*0.05) + MAX(0, (Z179-500000)*0.025) + MAX(0, (Z179-800000)*0.025) - AA179 - AB179))</f>
      </c>
      <c r="AD179" s="8">
        <f>IF(E179="","",AC179)</f>
      </c>
    </row>
    <row r="180" spans="1:30" x14ac:dyDescent="0.25">
      <c r="A180" s="6"/>
      <c r="B180" s="6"/>
      <c r="C180" s="6"/>
      <c r="F180" s="6"/>
      <c r="G180" s="6"/>
      <c r="L180" s="7"/>
      <c r="M180" s="7"/>
      <c r="N180" s="7"/>
      <c r="O180" s="7"/>
      <c r="P180" s="7"/>
      <c r="Q180" s="7"/>
      <c r="R180" s="7"/>
      <c r="S180" s="8">
        <f>IF(E180="","",SUM(L180:O180) + Q180 + R180)</f>
      </c>
      <c r="T180" s="8">
        <f>IF(E180="","",S180*0.0275)</f>
      </c>
      <c r="U180" s="8">
        <f>IF(E180="","",IF(S180&gt;0, MIN(S180*0.06, 6480), 0))</f>
      </c>
      <c r="V180" s="7"/>
      <c r="W180" s="7"/>
      <c r="X180" s="7"/>
      <c r="Y180" s="8">
        <f>IF(E180="","",S180*0.015)</f>
      </c>
      <c r="Z180" s="8">
        <f>IF(E180="","",MAX(0, S180 - T180 - U180 - V180 - W180 - X180 - Y180 - IF(J180="Yes", 150000, 0)))</f>
      </c>
      <c r="AA180" s="8">
        <f>IF(E180="","",IF(OR(L180&gt;0, E180&lt;&gt;""), 2400, 0))</f>
      </c>
      <c r="AB180" s="7"/>
      <c r="AC180" s="8">
        <f>IF(E180="","",MAX(0, MAX(0, Z180*0.1) + MAX(0, (Z180-24000)*0.15) + MAX(0, (Z180-32333)*0.05) + MAX(0, (Z180-500000)*0.025) + MAX(0, (Z180-800000)*0.025) - AA180 - AB180))</f>
      </c>
      <c r="AD180" s="8">
        <f>IF(E180="","",AC180)</f>
      </c>
    </row>
    <row r="181" spans="1:30" x14ac:dyDescent="0.25">
      <c r="A181" s="6"/>
      <c r="B181" s="6"/>
      <c r="C181" s="6"/>
      <c r="F181" s="6"/>
      <c r="G181" s="6"/>
      <c r="L181" s="7"/>
      <c r="M181" s="7"/>
      <c r="N181" s="7"/>
      <c r="O181" s="7"/>
      <c r="P181" s="7"/>
      <c r="Q181" s="7"/>
      <c r="R181" s="7"/>
      <c r="S181" s="8">
        <f>IF(E181="","",SUM(L181:O181) + Q181 + R181)</f>
      </c>
      <c r="T181" s="8">
        <f>IF(E181="","",S181*0.0275)</f>
      </c>
      <c r="U181" s="8">
        <f>IF(E181="","",IF(S181&gt;0, MIN(S181*0.06, 6480), 0))</f>
      </c>
      <c r="V181" s="7"/>
      <c r="W181" s="7"/>
      <c r="X181" s="7"/>
      <c r="Y181" s="8">
        <f>IF(E181="","",S181*0.015)</f>
      </c>
      <c r="Z181" s="8">
        <f>IF(E181="","",MAX(0, S181 - T181 - U181 - V181 - W181 - X181 - Y181 - IF(J181="Yes", 150000, 0)))</f>
      </c>
      <c r="AA181" s="8">
        <f>IF(E181="","",IF(OR(L181&gt;0, E181&lt;&gt;""), 2400, 0))</f>
      </c>
      <c r="AB181" s="7"/>
      <c r="AC181" s="8">
        <f>IF(E181="","",MAX(0, MAX(0, Z181*0.1) + MAX(0, (Z181-24000)*0.15) + MAX(0, (Z181-32333)*0.05) + MAX(0, (Z181-500000)*0.025) + MAX(0, (Z181-800000)*0.025) - AA181 - AB181))</f>
      </c>
      <c r="AD181" s="8">
        <f>IF(E181="","",AC181)</f>
      </c>
    </row>
    <row r="182" spans="1:30" x14ac:dyDescent="0.25">
      <c r="A182" s="6"/>
      <c r="B182" s="6"/>
      <c r="C182" s="6"/>
      <c r="F182" s="6"/>
      <c r="G182" s="6"/>
      <c r="L182" s="7"/>
      <c r="M182" s="7"/>
      <c r="N182" s="7"/>
      <c r="O182" s="7"/>
      <c r="P182" s="7"/>
      <c r="Q182" s="7"/>
      <c r="R182" s="7"/>
      <c r="S182" s="8">
        <f>IF(E182="","",SUM(L182:O182) + Q182 + R182)</f>
      </c>
      <c r="T182" s="8">
        <f>IF(E182="","",S182*0.0275)</f>
      </c>
      <c r="U182" s="8">
        <f>IF(E182="","",IF(S182&gt;0, MIN(S182*0.06, 6480), 0))</f>
      </c>
      <c r="V182" s="7"/>
      <c r="W182" s="7"/>
      <c r="X182" s="7"/>
      <c r="Y182" s="8">
        <f>IF(E182="","",S182*0.015)</f>
      </c>
      <c r="Z182" s="8">
        <f>IF(E182="","",MAX(0, S182 - T182 - U182 - V182 - W182 - X182 - Y182 - IF(J182="Yes", 150000, 0)))</f>
      </c>
      <c r="AA182" s="8">
        <f>IF(E182="","",IF(OR(L182&gt;0, E182&lt;&gt;""), 2400, 0))</f>
      </c>
      <c r="AB182" s="7"/>
      <c r="AC182" s="8">
        <f>IF(E182="","",MAX(0, MAX(0, Z182*0.1) + MAX(0, (Z182-24000)*0.15) + MAX(0, (Z182-32333)*0.05) + MAX(0, (Z182-500000)*0.025) + MAX(0, (Z182-800000)*0.025) - AA182 - AB182))</f>
      </c>
      <c r="AD182" s="8">
        <f>IF(E182="","",AC182)</f>
      </c>
    </row>
    <row r="183" spans="1:30" x14ac:dyDescent="0.25">
      <c r="A183" s="6"/>
      <c r="B183" s="6"/>
      <c r="C183" s="6"/>
      <c r="F183" s="6"/>
      <c r="G183" s="6"/>
      <c r="L183" s="7"/>
      <c r="M183" s="7"/>
      <c r="N183" s="7"/>
      <c r="O183" s="7"/>
      <c r="P183" s="7"/>
      <c r="Q183" s="7"/>
      <c r="R183" s="7"/>
      <c r="S183" s="8">
        <f>IF(E183="","",SUM(L183:O183) + Q183 + R183)</f>
      </c>
      <c r="T183" s="8">
        <f>IF(E183="","",S183*0.0275)</f>
      </c>
      <c r="U183" s="8">
        <f>IF(E183="","",IF(S183&gt;0, MIN(S183*0.06, 6480), 0))</f>
      </c>
      <c r="V183" s="7"/>
      <c r="W183" s="7"/>
      <c r="X183" s="7"/>
      <c r="Y183" s="8">
        <f>IF(E183="","",S183*0.015)</f>
      </c>
      <c r="Z183" s="8">
        <f>IF(E183="","",MAX(0, S183 - T183 - U183 - V183 - W183 - X183 - Y183 - IF(J183="Yes", 150000, 0)))</f>
      </c>
      <c r="AA183" s="8">
        <f>IF(E183="","",IF(OR(L183&gt;0, E183&lt;&gt;""), 2400, 0))</f>
      </c>
      <c r="AB183" s="7"/>
      <c r="AC183" s="8">
        <f>IF(E183="","",MAX(0, MAX(0, Z183*0.1) + MAX(0, (Z183-24000)*0.15) + MAX(0, (Z183-32333)*0.05) + MAX(0, (Z183-500000)*0.025) + MAX(0, (Z183-800000)*0.025) - AA183 - AB183))</f>
      </c>
      <c r="AD183" s="8">
        <f>IF(E183="","",AC183)</f>
      </c>
    </row>
    <row r="184" spans="1:30" x14ac:dyDescent="0.25">
      <c r="A184" s="6"/>
      <c r="B184" s="6"/>
      <c r="C184" s="6"/>
      <c r="F184" s="6"/>
      <c r="G184" s="6"/>
      <c r="L184" s="7"/>
      <c r="M184" s="7"/>
      <c r="N184" s="7"/>
      <c r="O184" s="7"/>
      <c r="P184" s="7"/>
      <c r="Q184" s="7"/>
      <c r="R184" s="7"/>
      <c r="S184" s="8">
        <f>IF(E184="","",SUM(L184:O184) + Q184 + R184)</f>
      </c>
      <c r="T184" s="8">
        <f>IF(E184="","",S184*0.0275)</f>
      </c>
      <c r="U184" s="8">
        <f>IF(E184="","",IF(S184&gt;0, MIN(S184*0.06, 6480), 0))</f>
      </c>
      <c r="V184" s="7"/>
      <c r="W184" s="7"/>
      <c r="X184" s="7"/>
      <c r="Y184" s="8">
        <f>IF(E184="","",S184*0.015)</f>
      </c>
      <c r="Z184" s="8">
        <f>IF(E184="","",MAX(0, S184 - T184 - U184 - V184 - W184 - X184 - Y184 - IF(J184="Yes", 150000, 0)))</f>
      </c>
      <c r="AA184" s="8">
        <f>IF(E184="","",IF(OR(L184&gt;0, E184&lt;&gt;""), 2400, 0))</f>
      </c>
      <c r="AB184" s="7"/>
      <c r="AC184" s="8">
        <f>IF(E184="","",MAX(0, MAX(0, Z184*0.1) + MAX(0, (Z184-24000)*0.15) + MAX(0, (Z184-32333)*0.05) + MAX(0, (Z184-500000)*0.025) + MAX(0, (Z184-800000)*0.025) - AA184 - AB184))</f>
      </c>
      <c r="AD184" s="8">
        <f>IF(E184="","",AC184)</f>
      </c>
    </row>
    <row r="185" spans="1:30" x14ac:dyDescent="0.25">
      <c r="A185" s="6"/>
      <c r="B185" s="6"/>
      <c r="C185" s="6"/>
      <c r="F185" s="6"/>
      <c r="G185" s="6"/>
      <c r="L185" s="7"/>
      <c r="M185" s="7"/>
      <c r="N185" s="7"/>
      <c r="O185" s="7"/>
      <c r="P185" s="7"/>
      <c r="Q185" s="7"/>
      <c r="R185" s="7"/>
      <c r="S185" s="8">
        <f>IF(E185="","",SUM(L185:O185) + Q185 + R185)</f>
      </c>
      <c r="T185" s="8">
        <f>IF(E185="","",S185*0.0275)</f>
      </c>
      <c r="U185" s="8">
        <f>IF(E185="","",IF(S185&gt;0, MIN(S185*0.06, 6480), 0))</f>
      </c>
      <c r="V185" s="7"/>
      <c r="W185" s="7"/>
      <c r="X185" s="7"/>
      <c r="Y185" s="8">
        <f>IF(E185="","",S185*0.015)</f>
      </c>
      <c r="Z185" s="8">
        <f>IF(E185="","",MAX(0, S185 - T185 - U185 - V185 - W185 - X185 - Y185 - IF(J185="Yes", 150000, 0)))</f>
      </c>
      <c r="AA185" s="8">
        <f>IF(E185="","",IF(OR(L185&gt;0, E185&lt;&gt;""), 2400, 0))</f>
      </c>
      <c r="AB185" s="7"/>
      <c r="AC185" s="8">
        <f>IF(E185="","",MAX(0, MAX(0, Z185*0.1) + MAX(0, (Z185-24000)*0.15) + MAX(0, (Z185-32333)*0.05) + MAX(0, (Z185-500000)*0.025) + MAX(0, (Z185-800000)*0.025) - AA185 - AB185))</f>
      </c>
      <c r="AD185" s="8">
        <f>IF(E185="","",AC185)</f>
      </c>
    </row>
    <row r="186" spans="1:30" x14ac:dyDescent="0.25">
      <c r="A186" s="6"/>
      <c r="B186" s="6"/>
      <c r="C186" s="6"/>
      <c r="F186" s="6"/>
      <c r="G186" s="6"/>
      <c r="L186" s="7"/>
      <c r="M186" s="7"/>
      <c r="N186" s="7"/>
      <c r="O186" s="7"/>
      <c r="P186" s="7"/>
      <c r="Q186" s="7"/>
      <c r="R186" s="7"/>
      <c r="S186" s="8">
        <f>IF(E186="","",SUM(L186:O186) + Q186 + R186)</f>
      </c>
      <c r="T186" s="8">
        <f>IF(E186="","",S186*0.0275)</f>
      </c>
      <c r="U186" s="8">
        <f>IF(E186="","",IF(S186&gt;0, MIN(S186*0.06, 6480), 0))</f>
      </c>
      <c r="V186" s="7"/>
      <c r="W186" s="7"/>
      <c r="X186" s="7"/>
      <c r="Y186" s="8">
        <f>IF(E186="","",S186*0.015)</f>
      </c>
      <c r="Z186" s="8">
        <f>IF(E186="","",MAX(0, S186 - T186 - U186 - V186 - W186 - X186 - Y186 - IF(J186="Yes", 150000, 0)))</f>
      </c>
      <c r="AA186" s="8">
        <f>IF(E186="","",IF(OR(L186&gt;0, E186&lt;&gt;""), 2400, 0))</f>
      </c>
      <c r="AB186" s="7"/>
      <c r="AC186" s="8">
        <f>IF(E186="","",MAX(0, MAX(0, Z186*0.1) + MAX(0, (Z186-24000)*0.15) + MAX(0, (Z186-32333)*0.05) + MAX(0, (Z186-500000)*0.025) + MAX(0, (Z186-800000)*0.025) - AA186 - AB186))</f>
      </c>
      <c r="AD186" s="8">
        <f>IF(E186="","",AC186)</f>
      </c>
    </row>
    <row r="187" spans="1:30" x14ac:dyDescent="0.25">
      <c r="A187" s="6"/>
      <c r="B187" s="6"/>
      <c r="C187" s="6"/>
      <c r="F187" s="6"/>
      <c r="G187" s="6"/>
      <c r="L187" s="7"/>
      <c r="M187" s="7"/>
      <c r="N187" s="7"/>
      <c r="O187" s="7"/>
      <c r="P187" s="7"/>
      <c r="Q187" s="7"/>
      <c r="R187" s="7"/>
      <c r="S187" s="8">
        <f>IF(E187="","",SUM(L187:O187) + Q187 + R187)</f>
      </c>
      <c r="T187" s="8">
        <f>IF(E187="","",S187*0.0275)</f>
      </c>
      <c r="U187" s="8">
        <f>IF(E187="","",IF(S187&gt;0, MIN(S187*0.06, 6480), 0))</f>
      </c>
      <c r="V187" s="7"/>
      <c r="W187" s="7"/>
      <c r="X187" s="7"/>
      <c r="Y187" s="8">
        <f>IF(E187="","",S187*0.015)</f>
      </c>
      <c r="Z187" s="8">
        <f>IF(E187="","",MAX(0, S187 - T187 - U187 - V187 - W187 - X187 - Y187 - IF(J187="Yes", 150000, 0)))</f>
      </c>
      <c r="AA187" s="8">
        <f>IF(E187="","",IF(OR(L187&gt;0, E187&lt;&gt;""), 2400, 0))</f>
      </c>
      <c r="AB187" s="7"/>
      <c r="AC187" s="8">
        <f>IF(E187="","",MAX(0, MAX(0, Z187*0.1) + MAX(0, (Z187-24000)*0.15) + MAX(0, (Z187-32333)*0.05) + MAX(0, (Z187-500000)*0.025) + MAX(0, (Z187-800000)*0.025) - AA187 - AB187))</f>
      </c>
      <c r="AD187" s="8">
        <f>IF(E187="","",AC187)</f>
      </c>
    </row>
    <row r="188" spans="1:30" x14ac:dyDescent="0.25">
      <c r="A188" s="6"/>
      <c r="B188" s="6"/>
      <c r="C188" s="6"/>
      <c r="F188" s="6"/>
      <c r="G188" s="6"/>
      <c r="L188" s="7"/>
      <c r="M188" s="7"/>
      <c r="N188" s="7"/>
      <c r="O188" s="7"/>
      <c r="P188" s="7"/>
      <c r="Q188" s="7"/>
      <c r="R188" s="7"/>
      <c r="S188" s="8">
        <f>IF(E188="","",SUM(L188:O188) + Q188 + R188)</f>
      </c>
      <c r="T188" s="8">
        <f>IF(E188="","",S188*0.0275)</f>
      </c>
      <c r="U188" s="8">
        <f>IF(E188="","",IF(S188&gt;0, MIN(S188*0.06, 6480), 0))</f>
      </c>
      <c r="V188" s="7"/>
      <c r="W188" s="7"/>
      <c r="X188" s="7"/>
      <c r="Y188" s="8">
        <f>IF(E188="","",S188*0.015)</f>
      </c>
      <c r="Z188" s="8">
        <f>IF(E188="","",MAX(0, S188 - T188 - U188 - V188 - W188 - X188 - Y188 - IF(J188="Yes", 150000, 0)))</f>
      </c>
      <c r="AA188" s="8">
        <f>IF(E188="","",IF(OR(L188&gt;0, E188&lt;&gt;""), 2400, 0))</f>
      </c>
      <c r="AB188" s="7"/>
      <c r="AC188" s="8">
        <f>IF(E188="","",MAX(0, MAX(0, Z188*0.1) + MAX(0, (Z188-24000)*0.15) + MAX(0, (Z188-32333)*0.05) + MAX(0, (Z188-500000)*0.025) + MAX(0, (Z188-800000)*0.025) - AA188 - AB188))</f>
      </c>
      <c r="AD188" s="8">
        <f>IF(E188="","",AC188)</f>
      </c>
    </row>
    <row r="189" spans="1:30" x14ac:dyDescent="0.25">
      <c r="A189" s="6"/>
      <c r="B189" s="6"/>
      <c r="C189" s="6"/>
      <c r="F189" s="6"/>
      <c r="G189" s="6"/>
      <c r="L189" s="7"/>
      <c r="M189" s="7"/>
      <c r="N189" s="7"/>
      <c r="O189" s="7"/>
      <c r="P189" s="7"/>
      <c r="Q189" s="7"/>
      <c r="R189" s="7"/>
      <c r="S189" s="8">
        <f>IF(E189="","",SUM(L189:O189) + Q189 + R189)</f>
      </c>
      <c r="T189" s="8">
        <f>IF(E189="","",S189*0.0275)</f>
      </c>
      <c r="U189" s="8">
        <f>IF(E189="","",IF(S189&gt;0, MIN(S189*0.06, 6480), 0))</f>
      </c>
      <c r="V189" s="7"/>
      <c r="W189" s="7"/>
      <c r="X189" s="7"/>
      <c r="Y189" s="8">
        <f>IF(E189="","",S189*0.015)</f>
      </c>
      <c r="Z189" s="8">
        <f>IF(E189="","",MAX(0, S189 - T189 - U189 - V189 - W189 - X189 - Y189 - IF(J189="Yes", 150000, 0)))</f>
      </c>
      <c r="AA189" s="8">
        <f>IF(E189="","",IF(OR(L189&gt;0, E189&lt;&gt;""), 2400, 0))</f>
      </c>
      <c r="AB189" s="7"/>
      <c r="AC189" s="8">
        <f>IF(E189="","",MAX(0, MAX(0, Z189*0.1) + MAX(0, (Z189-24000)*0.15) + MAX(0, (Z189-32333)*0.05) + MAX(0, (Z189-500000)*0.025) + MAX(0, (Z189-800000)*0.025) - AA189 - AB189))</f>
      </c>
      <c r="AD189" s="8">
        <f>IF(E189="","",AC189)</f>
      </c>
    </row>
    <row r="190" spans="1:30" x14ac:dyDescent="0.25">
      <c r="A190" s="6"/>
      <c r="B190" s="6"/>
      <c r="C190" s="6"/>
      <c r="F190" s="6"/>
      <c r="G190" s="6"/>
      <c r="L190" s="7"/>
      <c r="M190" s="7"/>
      <c r="N190" s="7"/>
      <c r="O190" s="7"/>
      <c r="P190" s="7"/>
      <c r="Q190" s="7"/>
      <c r="R190" s="7"/>
      <c r="S190" s="8">
        <f>IF(E190="","",SUM(L190:O190) + Q190 + R190)</f>
      </c>
      <c r="T190" s="8">
        <f>IF(E190="","",S190*0.0275)</f>
      </c>
      <c r="U190" s="8">
        <f>IF(E190="","",IF(S190&gt;0, MIN(S190*0.06, 6480), 0))</f>
      </c>
      <c r="V190" s="7"/>
      <c r="W190" s="7"/>
      <c r="X190" s="7"/>
      <c r="Y190" s="8">
        <f>IF(E190="","",S190*0.015)</f>
      </c>
      <c r="Z190" s="8">
        <f>IF(E190="","",MAX(0, S190 - T190 - U190 - V190 - W190 - X190 - Y190 - IF(J190="Yes", 150000, 0)))</f>
      </c>
      <c r="AA190" s="8">
        <f>IF(E190="","",IF(OR(L190&gt;0, E190&lt;&gt;""), 2400, 0))</f>
      </c>
      <c r="AB190" s="7"/>
      <c r="AC190" s="8">
        <f>IF(E190="","",MAX(0, MAX(0, Z190*0.1) + MAX(0, (Z190-24000)*0.15) + MAX(0, (Z190-32333)*0.05) + MAX(0, (Z190-500000)*0.025) + MAX(0, (Z190-800000)*0.025) - AA190 - AB190))</f>
      </c>
      <c r="AD190" s="8">
        <f>IF(E190="","",AC190)</f>
      </c>
    </row>
    <row r="191" spans="1:30" x14ac:dyDescent="0.25">
      <c r="A191" s="6"/>
      <c r="B191" s="6"/>
      <c r="C191" s="6"/>
      <c r="F191" s="6"/>
      <c r="G191" s="6"/>
      <c r="L191" s="7"/>
      <c r="M191" s="7"/>
      <c r="N191" s="7"/>
      <c r="O191" s="7"/>
      <c r="P191" s="7"/>
      <c r="Q191" s="7"/>
      <c r="R191" s="7"/>
      <c r="S191" s="8">
        <f>IF(E191="","",SUM(L191:O191) + Q191 + R191)</f>
      </c>
      <c r="T191" s="8">
        <f>IF(E191="","",S191*0.0275)</f>
      </c>
      <c r="U191" s="8">
        <f>IF(E191="","",IF(S191&gt;0, MIN(S191*0.06, 6480), 0))</f>
      </c>
      <c r="V191" s="7"/>
      <c r="W191" s="7"/>
      <c r="X191" s="7"/>
      <c r="Y191" s="8">
        <f>IF(E191="","",S191*0.015)</f>
      </c>
      <c r="Z191" s="8">
        <f>IF(E191="","",MAX(0, S191 - T191 - U191 - V191 - W191 - X191 - Y191 - IF(J191="Yes", 150000, 0)))</f>
      </c>
      <c r="AA191" s="8">
        <f>IF(E191="","",IF(OR(L191&gt;0, E191&lt;&gt;""), 2400, 0))</f>
      </c>
      <c r="AB191" s="7"/>
      <c r="AC191" s="8">
        <f>IF(E191="","",MAX(0, MAX(0, Z191*0.1) + MAX(0, (Z191-24000)*0.15) + MAX(0, (Z191-32333)*0.05) + MAX(0, (Z191-500000)*0.025) + MAX(0, (Z191-800000)*0.025) - AA191 - AB191))</f>
      </c>
      <c r="AD191" s="8">
        <f>IF(E191="","",AC191)</f>
      </c>
    </row>
    <row r="192" spans="1:30" x14ac:dyDescent="0.25">
      <c r="A192" s="6"/>
      <c r="B192" s="6"/>
      <c r="C192" s="6"/>
      <c r="F192" s="6"/>
      <c r="G192" s="6"/>
      <c r="L192" s="7"/>
      <c r="M192" s="7"/>
      <c r="N192" s="7"/>
      <c r="O192" s="7"/>
      <c r="P192" s="7"/>
      <c r="Q192" s="7"/>
      <c r="R192" s="7"/>
      <c r="S192" s="8">
        <f>IF(E192="","",SUM(L192:O192) + Q192 + R192)</f>
      </c>
      <c r="T192" s="8">
        <f>IF(E192="","",S192*0.0275)</f>
      </c>
      <c r="U192" s="8">
        <f>IF(E192="","",IF(S192&gt;0, MIN(S192*0.06, 6480), 0))</f>
      </c>
      <c r="V192" s="7"/>
      <c r="W192" s="7"/>
      <c r="X192" s="7"/>
      <c r="Y192" s="8">
        <f>IF(E192="","",S192*0.015)</f>
      </c>
      <c r="Z192" s="8">
        <f>IF(E192="","",MAX(0, S192 - T192 - U192 - V192 - W192 - X192 - Y192 - IF(J192="Yes", 150000, 0)))</f>
      </c>
      <c r="AA192" s="8">
        <f>IF(E192="","",IF(OR(L192&gt;0, E192&lt;&gt;""), 2400, 0))</f>
      </c>
      <c r="AB192" s="7"/>
      <c r="AC192" s="8">
        <f>IF(E192="","",MAX(0, MAX(0, Z192*0.1) + MAX(0, (Z192-24000)*0.15) + MAX(0, (Z192-32333)*0.05) + MAX(0, (Z192-500000)*0.025) + MAX(0, (Z192-800000)*0.025) - AA192 - AB192))</f>
      </c>
      <c r="AD192" s="8">
        <f>IF(E192="","",AC192)</f>
      </c>
    </row>
    <row r="193" spans="1:30" x14ac:dyDescent="0.25">
      <c r="A193" s="6"/>
      <c r="B193" s="6"/>
      <c r="C193" s="6"/>
      <c r="F193" s="6"/>
      <c r="G193" s="6"/>
      <c r="L193" s="7"/>
      <c r="M193" s="7"/>
      <c r="N193" s="7"/>
      <c r="O193" s="7"/>
      <c r="P193" s="7"/>
      <c r="Q193" s="7"/>
      <c r="R193" s="7"/>
      <c r="S193" s="8">
        <f>IF(E193="","",SUM(L193:O193) + Q193 + R193)</f>
      </c>
      <c r="T193" s="8">
        <f>IF(E193="","",S193*0.0275)</f>
      </c>
      <c r="U193" s="8">
        <f>IF(E193="","",IF(S193&gt;0, MIN(S193*0.06, 6480), 0))</f>
      </c>
      <c r="V193" s="7"/>
      <c r="W193" s="7"/>
      <c r="X193" s="7"/>
      <c r="Y193" s="8">
        <f>IF(E193="","",S193*0.015)</f>
      </c>
      <c r="Z193" s="8">
        <f>IF(E193="","",MAX(0, S193 - T193 - U193 - V193 - W193 - X193 - Y193 - IF(J193="Yes", 150000, 0)))</f>
      </c>
      <c r="AA193" s="8">
        <f>IF(E193="","",IF(OR(L193&gt;0, E193&lt;&gt;""), 2400, 0))</f>
      </c>
      <c r="AB193" s="7"/>
      <c r="AC193" s="8">
        <f>IF(E193="","",MAX(0, MAX(0, Z193*0.1) + MAX(0, (Z193-24000)*0.15) + MAX(0, (Z193-32333)*0.05) + MAX(0, (Z193-500000)*0.025) + MAX(0, (Z193-800000)*0.025) - AA193 - AB193))</f>
      </c>
      <c r="AD193" s="8">
        <f>IF(E193="","",AC193)</f>
      </c>
    </row>
    <row r="194" spans="1:30" x14ac:dyDescent="0.25">
      <c r="A194" s="6"/>
      <c r="B194" s="6"/>
      <c r="C194" s="6"/>
      <c r="F194" s="6"/>
      <c r="G194" s="6"/>
      <c r="L194" s="7"/>
      <c r="M194" s="7"/>
      <c r="N194" s="7"/>
      <c r="O194" s="7"/>
      <c r="P194" s="7"/>
      <c r="Q194" s="7"/>
      <c r="R194" s="7"/>
      <c r="S194" s="8">
        <f>IF(E194="","",SUM(L194:O194) + Q194 + R194)</f>
      </c>
      <c r="T194" s="8">
        <f>IF(E194="","",S194*0.0275)</f>
      </c>
      <c r="U194" s="8">
        <f>IF(E194="","",IF(S194&gt;0, MIN(S194*0.06, 6480), 0))</f>
      </c>
      <c r="V194" s="7"/>
      <c r="W194" s="7"/>
      <c r="X194" s="7"/>
      <c r="Y194" s="8">
        <f>IF(E194="","",S194*0.015)</f>
      </c>
      <c r="Z194" s="8">
        <f>IF(E194="","",MAX(0, S194 - T194 - U194 - V194 - W194 - X194 - Y194 - IF(J194="Yes", 150000, 0)))</f>
      </c>
      <c r="AA194" s="8">
        <f>IF(E194="","",IF(OR(L194&gt;0, E194&lt;&gt;""), 2400, 0))</f>
      </c>
      <c r="AB194" s="7"/>
      <c r="AC194" s="8">
        <f>IF(E194="","",MAX(0, MAX(0, Z194*0.1) + MAX(0, (Z194-24000)*0.15) + MAX(0, (Z194-32333)*0.05) + MAX(0, (Z194-500000)*0.025) + MAX(0, (Z194-800000)*0.025) - AA194 - AB194))</f>
      </c>
      <c r="AD194" s="8">
        <f>IF(E194="","",AC194)</f>
      </c>
    </row>
    <row r="195" spans="1:30" x14ac:dyDescent="0.25">
      <c r="A195" s="6"/>
      <c r="B195" s="6"/>
      <c r="C195" s="6"/>
      <c r="F195" s="6"/>
      <c r="G195" s="6"/>
      <c r="L195" s="7"/>
      <c r="M195" s="7"/>
      <c r="N195" s="7"/>
      <c r="O195" s="7"/>
      <c r="P195" s="7"/>
      <c r="Q195" s="7"/>
      <c r="R195" s="7"/>
      <c r="S195" s="8">
        <f>IF(E195="","",SUM(L195:O195) + Q195 + R195)</f>
      </c>
      <c r="T195" s="8">
        <f>IF(E195="","",S195*0.0275)</f>
      </c>
      <c r="U195" s="8">
        <f>IF(E195="","",IF(S195&gt;0, MIN(S195*0.06, 6480), 0))</f>
      </c>
      <c r="V195" s="7"/>
      <c r="W195" s="7"/>
      <c r="X195" s="7"/>
      <c r="Y195" s="8">
        <f>IF(E195="","",S195*0.015)</f>
      </c>
      <c r="Z195" s="8">
        <f>IF(E195="","",MAX(0, S195 - T195 - U195 - V195 - W195 - X195 - Y195 - IF(J195="Yes", 150000, 0)))</f>
      </c>
      <c r="AA195" s="8">
        <f>IF(E195="","",IF(OR(L195&gt;0, E195&lt;&gt;""), 2400, 0))</f>
      </c>
      <c r="AB195" s="7"/>
      <c r="AC195" s="8">
        <f>IF(E195="","",MAX(0, MAX(0, Z195*0.1) + MAX(0, (Z195-24000)*0.15) + MAX(0, (Z195-32333)*0.05) + MAX(0, (Z195-500000)*0.025) + MAX(0, (Z195-800000)*0.025) - AA195 - AB195))</f>
      </c>
      <c r="AD195" s="8">
        <f>IF(E195="","",AC195)</f>
      </c>
    </row>
    <row r="196" spans="1:30" x14ac:dyDescent="0.25">
      <c r="A196" s="6"/>
      <c r="B196" s="6"/>
      <c r="C196" s="6"/>
      <c r="F196" s="6"/>
      <c r="G196" s="6"/>
      <c r="L196" s="7"/>
      <c r="M196" s="7"/>
      <c r="N196" s="7"/>
      <c r="O196" s="7"/>
      <c r="P196" s="7"/>
      <c r="Q196" s="7"/>
      <c r="R196" s="7"/>
      <c r="S196" s="8">
        <f>IF(E196="","",SUM(L196:O196) + Q196 + R196)</f>
      </c>
      <c r="T196" s="8">
        <f>IF(E196="","",S196*0.0275)</f>
      </c>
      <c r="U196" s="8">
        <f>IF(E196="","",IF(S196&gt;0, MIN(S196*0.06, 6480), 0))</f>
      </c>
      <c r="V196" s="7"/>
      <c r="W196" s="7"/>
      <c r="X196" s="7"/>
      <c r="Y196" s="8">
        <f>IF(E196="","",S196*0.015)</f>
      </c>
      <c r="Z196" s="8">
        <f>IF(E196="","",MAX(0, S196 - T196 - U196 - V196 - W196 - X196 - Y196 - IF(J196="Yes", 150000, 0)))</f>
      </c>
      <c r="AA196" s="8">
        <f>IF(E196="","",IF(OR(L196&gt;0, E196&lt;&gt;""), 2400, 0))</f>
      </c>
      <c r="AB196" s="7"/>
      <c r="AC196" s="8">
        <f>IF(E196="","",MAX(0, MAX(0, Z196*0.1) + MAX(0, (Z196-24000)*0.15) + MAX(0, (Z196-32333)*0.05) + MAX(0, (Z196-500000)*0.025) + MAX(0, (Z196-800000)*0.025) - AA196 - AB196))</f>
      </c>
      <c r="AD196" s="8">
        <f>IF(E196="","",AC196)</f>
      </c>
    </row>
    <row r="197" spans="1:30" x14ac:dyDescent="0.25">
      <c r="A197" s="6"/>
      <c r="B197" s="6"/>
      <c r="C197" s="6"/>
      <c r="F197" s="6"/>
      <c r="G197" s="6"/>
      <c r="L197" s="7"/>
      <c r="M197" s="7"/>
      <c r="N197" s="7"/>
      <c r="O197" s="7"/>
      <c r="P197" s="7"/>
      <c r="Q197" s="7"/>
      <c r="R197" s="7"/>
      <c r="S197" s="8">
        <f>IF(E197="","",SUM(L197:O197) + Q197 + R197)</f>
      </c>
      <c r="T197" s="8">
        <f>IF(E197="","",S197*0.0275)</f>
      </c>
      <c r="U197" s="8">
        <f>IF(E197="","",IF(S197&gt;0, MIN(S197*0.06, 6480), 0))</f>
      </c>
      <c r="V197" s="7"/>
      <c r="W197" s="7"/>
      <c r="X197" s="7"/>
      <c r="Y197" s="8">
        <f>IF(E197="","",S197*0.015)</f>
      </c>
      <c r="Z197" s="8">
        <f>IF(E197="","",MAX(0, S197 - T197 - U197 - V197 - W197 - X197 - Y197 - IF(J197="Yes", 150000, 0)))</f>
      </c>
      <c r="AA197" s="8">
        <f>IF(E197="","",IF(OR(L197&gt;0, E197&lt;&gt;""), 2400, 0))</f>
      </c>
      <c r="AB197" s="7"/>
      <c r="AC197" s="8">
        <f>IF(E197="","",MAX(0, MAX(0, Z197*0.1) + MAX(0, (Z197-24000)*0.15) + MAX(0, (Z197-32333)*0.05) + MAX(0, (Z197-500000)*0.025) + MAX(0, (Z197-800000)*0.025) - AA197 - AB197))</f>
      </c>
      <c r="AD197" s="8">
        <f>IF(E197="","",AC197)</f>
      </c>
    </row>
    <row r="198" spans="1:30" x14ac:dyDescent="0.25">
      <c r="A198" s="6"/>
      <c r="B198" s="6"/>
      <c r="C198" s="6"/>
      <c r="F198" s="6"/>
      <c r="G198" s="6"/>
      <c r="L198" s="7"/>
      <c r="M198" s="7"/>
      <c r="N198" s="7"/>
      <c r="O198" s="7"/>
      <c r="P198" s="7"/>
      <c r="Q198" s="7"/>
      <c r="R198" s="7"/>
      <c r="S198" s="8">
        <f>IF(E198="","",SUM(L198:O198) + Q198 + R198)</f>
      </c>
      <c r="T198" s="8">
        <f>IF(E198="","",S198*0.0275)</f>
      </c>
      <c r="U198" s="8">
        <f>IF(E198="","",IF(S198&gt;0, MIN(S198*0.06, 6480), 0))</f>
      </c>
      <c r="V198" s="7"/>
      <c r="W198" s="7"/>
      <c r="X198" s="7"/>
      <c r="Y198" s="8">
        <f>IF(E198="","",S198*0.015)</f>
      </c>
      <c r="Z198" s="8">
        <f>IF(E198="","",MAX(0, S198 - T198 - U198 - V198 - W198 - X198 - Y198 - IF(J198="Yes", 150000, 0)))</f>
      </c>
      <c r="AA198" s="8">
        <f>IF(E198="","",IF(OR(L198&gt;0, E198&lt;&gt;""), 2400, 0))</f>
      </c>
      <c r="AB198" s="7"/>
      <c r="AC198" s="8">
        <f>IF(E198="","",MAX(0, MAX(0, Z198*0.1) + MAX(0, (Z198-24000)*0.15) + MAX(0, (Z198-32333)*0.05) + MAX(0, (Z198-500000)*0.025) + MAX(0, (Z198-800000)*0.025) - AA198 - AB198))</f>
      </c>
      <c r="AD198" s="8">
        <f>IF(E198="","",AC198)</f>
      </c>
    </row>
    <row r="199" spans="1:30" x14ac:dyDescent="0.25">
      <c r="A199" s="6"/>
      <c r="B199" s="6"/>
      <c r="C199" s="6"/>
      <c r="F199" s="6"/>
      <c r="G199" s="6"/>
      <c r="L199" s="7"/>
      <c r="M199" s="7"/>
      <c r="N199" s="7"/>
      <c r="O199" s="7"/>
      <c r="P199" s="7"/>
      <c r="Q199" s="7"/>
      <c r="R199" s="7"/>
      <c r="S199" s="8">
        <f>IF(E199="","",SUM(L199:O199) + Q199 + R199)</f>
      </c>
      <c r="T199" s="8">
        <f>IF(E199="","",S199*0.0275)</f>
      </c>
      <c r="U199" s="8">
        <f>IF(E199="","",IF(S199&gt;0, MIN(S199*0.06, 6480), 0))</f>
      </c>
      <c r="V199" s="7"/>
      <c r="W199" s="7"/>
      <c r="X199" s="7"/>
      <c r="Y199" s="8">
        <f>IF(E199="","",S199*0.015)</f>
      </c>
      <c r="Z199" s="8">
        <f>IF(E199="","",MAX(0, S199 - T199 - U199 - V199 - W199 - X199 - Y199 - IF(J199="Yes", 150000, 0)))</f>
      </c>
      <c r="AA199" s="8">
        <f>IF(E199="","",IF(OR(L199&gt;0, E199&lt;&gt;""), 2400, 0))</f>
      </c>
      <c r="AB199" s="7"/>
      <c r="AC199" s="8">
        <f>IF(E199="","",MAX(0, MAX(0, Z199*0.1) + MAX(0, (Z199-24000)*0.15) + MAX(0, (Z199-32333)*0.05) + MAX(0, (Z199-500000)*0.025) + MAX(0, (Z199-800000)*0.025) - AA199 - AB199))</f>
      </c>
      <c r="AD199" s="8">
        <f>IF(E199="","",AC199)</f>
      </c>
    </row>
    <row r="200" spans="1:30" x14ac:dyDescent="0.25">
      <c r="A200" s="6"/>
      <c r="B200" s="6"/>
      <c r="C200" s="6"/>
      <c r="F200" s="6"/>
      <c r="G200" s="6"/>
      <c r="L200" s="7"/>
      <c r="M200" s="7"/>
      <c r="N200" s="7"/>
      <c r="O200" s="7"/>
      <c r="P200" s="7"/>
      <c r="Q200" s="7"/>
      <c r="R200" s="7"/>
      <c r="S200" s="8">
        <f>IF(E200="","",SUM(L200:O200) + Q200 + R200)</f>
      </c>
      <c r="T200" s="8">
        <f>IF(E200="","",S200*0.0275)</f>
      </c>
      <c r="U200" s="8">
        <f>IF(E200="","",IF(S200&gt;0, MIN(S200*0.06, 6480), 0))</f>
      </c>
      <c r="V200" s="7"/>
      <c r="W200" s="7"/>
      <c r="X200" s="7"/>
      <c r="Y200" s="8">
        <f>IF(E200="","",S200*0.015)</f>
      </c>
      <c r="Z200" s="8">
        <f>IF(E200="","",MAX(0, S200 - T200 - U200 - V200 - W200 - X200 - Y200 - IF(J200="Yes", 150000, 0)))</f>
      </c>
      <c r="AA200" s="8">
        <f>IF(E200="","",IF(OR(L200&gt;0, E200&lt;&gt;""), 2400, 0))</f>
      </c>
      <c r="AB200" s="7"/>
      <c r="AC200" s="8">
        <f>IF(E200="","",MAX(0, MAX(0, Z200*0.1) + MAX(0, (Z200-24000)*0.15) + MAX(0, (Z200-32333)*0.05) + MAX(0, (Z200-500000)*0.025) + MAX(0, (Z200-800000)*0.025) - AA200 - AB200))</f>
      </c>
      <c r="AD200" s="8">
        <f>IF(E200="","",AC200)</f>
      </c>
    </row>
    <row r="201" spans="1:30" x14ac:dyDescent="0.25">
      <c r="A201" s="6"/>
      <c r="B201" s="6"/>
      <c r="C201" s="6"/>
      <c r="F201" s="6"/>
      <c r="G201" s="6"/>
      <c r="L201" s="7"/>
      <c r="M201" s="7"/>
      <c r="N201" s="7"/>
      <c r="O201" s="7"/>
      <c r="P201" s="7"/>
      <c r="Q201" s="7"/>
      <c r="R201" s="7"/>
      <c r="S201" s="8">
        <f>IF(E201="","",SUM(L201:O201) + Q201 + R201)</f>
      </c>
      <c r="T201" s="8">
        <f>IF(E201="","",S201*0.0275)</f>
      </c>
      <c r="U201" s="8">
        <f>IF(E201="","",IF(S201&gt;0, MIN(S201*0.06, 6480), 0))</f>
      </c>
      <c r="V201" s="7"/>
      <c r="W201" s="7"/>
      <c r="X201" s="7"/>
      <c r="Y201" s="8">
        <f>IF(E201="","",S201*0.015)</f>
      </c>
      <c r="Z201" s="8">
        <f>IF(E201="","",MAX(0, S201 - T201 - U201 - V201 - W201 - X201 - Y201 - IF(J201="Yes", 150000, 0)))</f>
      </c>
      <c r="AA201" s="8">
        <f>IF(E201="","",IF(OR(L201&gt;0, E201&lt;&gt;""), 2400, 0))</f>
      </c>
      <c r="AB201" s="7"/>
      <c r="AC201" s="8">
        <f>IF(E201="","",MAX(0, MAX(0, Z201*0.1) + MAX(0, (Z201-24000)*0.15) + MAX(0, (Z201-32333)*0.05) + MAX(0, (Z201-500000)*0.025) + MAX(0, (Z201-800000)*0.025) - AA201 - AB201))</f>
      </c>
      <c r="AD201" s="8">
        <f>IF(E201="","",AC201)</f>
      </c>
    </row>
    <row r="202" spans="1:30" x14ac:dyDescent="0.25">
      <c r="A202" s="6"/>
      <c r="B202" s="6"/>
      <c r="C202" s="6"/>
      <c r="F202" s="6"/>
      <c r="G202" s="6"/>
      <c r="L202" s="7"/>
      <c r="M202" s="7"/>
      <c r="N202" s="7"/>
      <c r="O202" s="7"/>
      <c r="P202" s="7"/>
      <c r="Q202" s="7"/>
      <c r="R202" s="7"/>
      <c r="S202" s="8">
        <f>IF(E202="","",SUM(L202:O202) + Q202 + R202)</f>
      </c>
      <c r="T202" s="8">
        <f>IF(E202="","",S202*0.0275)</f>
      </c>
      <c r="U202" s="8">
        <f>IF(E202="","",IF(S202&gt;0, MIN(S202*0.06, 6480), 0))</f>
      </c>
      <c r="V202" s="7"/>
      <c r="W202" s="7"/>
      <c r="X202" s="7"/>
      <c r="Y202" s="8">
        <f>IF(E202="","",S202*0.015)</f>
      </c>
      <c r="Z202" s="8">
        <f>IF(E202="","",MAX(0, S202 - T202 - U202 - V202 - W202 - X202 - Y202 - IF(J202="Yes", 150000, 0)))</f>
      </c>
      <c r="AA202" s="8">
        <f>IF(E202="","",IF(OR(L202&gt;0, E202&lt;&gt;""), 2400, 0))</f>
      </c>
      <c r="AB202" s="7"/>
      <c r="AC202" s="8">
        <f>IF(E202="","",MAX(0, MAX(0, Z202*0.1) + MAX(0, (Z202-24000)*0.15) + MAX(0, (Z202-32333)*0.05) + MAX(0, (Z202-500000)*0.025) + MAX(0, (Z202-800000)*0.025) - AA202 - AB202))</f>
      </c>
      <c r="AD202" s="8">
        <f>IF(E202="","",AC202)</f>
      </c>
    </row>
    <row r="203" spans="1:30" x14ac:dyDescent="0.25">
      <c r="A203" s="6"/>
      <c r="B203" s="6"/>
      <c r="C203" s="6"/>
      <c r="F203" s="6"/>
      <c r="G203" s="6"/>
      <c r="L203" s="7"/>
      <c r="M203" s="7"/>
      <c r="N203" s="7"/>
      <c r="O203" s="7"/>
      <c r="P203" s="7"/>
      <c r="Q203" s="7"/>
      <c r="R203" s="7"/>
      <c r="S203" s="8">
        <f>IF(E203="","",SUM(L203:O203) + Q203 + R203)</f>
      </c>
      <c r="T203" s="8">
        <f>IF(E203="","",S203*0.0275)</f>
      </c>
      <c r="U203" s="8">
        <f>IF(E203="","",IF(S203&gt;0, MIN(S203*0.06, 6480), 0))</f>
      </c>
      <c r="V203" s="7"/>
      <c r="W203" s="7"/>
      <c r="X203" s="7"/>
      <c r="Y203" s="8">
        <f>IF(E203="","",S203*0.015)</f>
      </c>
      <c r="Z203" s="8">
        <f>IF(E203="","",MAX(0, S203 - T203 - U203 - V203 - W203 - X203 - Y203 - IF(J203="Yes", 150000, 0)))</f>
      </c>
      <c r="AA203" s="8">
        <f>IF(E203="","",IF(OR(L203&gt;0, E203&lt;&gt;""), 2400, 0))</f>
      </c>
      <c r="AB203" s="7"/>
      <c r="AC203" s="8">
        <f>IF(E203="","",MAX(0, MAX(0, Z203*0.1) + MAX(0, (Z203-24000)*0.15) + MAX(0, (Z203-32333)*0.05) + MAX(0, (Z203-500000)*0.025) + MAX(0, (Z203-800000)*0.025) - AA203 - AB203))</f>
      </c>
      <c r="AD203" s="8">
        <f>IF(E203="","",AC203)</f>
      </c>
    </row>
    <row r="204" spans="1:30" x14ac:dyDescent="0.25">
      <c r="A204" s="6"/>
      <c r="B204" s="6"/>
      <c r="C204" s="6"/>
      <c r="F204" s="6"/>
      <c r="G204" s="6"/>
      <c r="L204" s="7"/>
      <c r="M204" s="7"/>
      <c r="N204" s="7"/>
      <c r="O204" s="7"/>
      <c r="P204" s="7"/>
      <c r="Q204" s="7"/>
      <c r="R204" s="7"/>
      <c r="S204" s="8">
        <f>IF(E204="","",SUM(L204:O204) + Q204 + R204)</f>
      </c>
      <c r="T204" s="8">
        <f>IF(E204="","",S204*0.0275)</f>
      </c>
      <c r="U204" s="8">
        <f>IF(E204="","",IF(S204&gt;0, MIN(S204*0.06, 6480), 0))</f>
      </c>
      <c r="V204" s="7"/>
      <c r="W204" s="7"/>
      <c r="X204" s="7"/>
      <c r="Y204" s="8">
        <f>IF(E204="","",S204*0.015)</f>
      </c>
      <c r="Z204" s="8">
        <f>IF(E204="","",MAX(0, S204 - T204 - U204 - V204 - W204 - X204 - Y204 - IF(J204="Yes", 150000, 0)))</f>
      </c>
      <c r="AA204" s="8">
        <f>IF(E204="","",IF(OR(L204&gt;0, E204&lt;&gt;""), 2400, 0))</f>
      </c>
      <c r="AB204" s="7"/>
      <c r="AC204" s="8">
        <f>IF(E204="","",MAX(0, MAX(0, Z204*0.1) + MAX(0, (Z204-24000)*0.15) + MAX(0, (Z204-32333)*0.05) + MAX(0, (Z204-500000)*0.025) + MAX(0, (Z204-800000)*0.025) - AA204 - AB204))</f>
      </c>
      <c r="AD204" s="8">
        <f>IF(E204="","",AC204)</f>
      </c>
    </row>
    <row r="205" spans="1:30" x14ac:dyDescent="0.25">
      <c r="A205" s="6"/>
      <c r="B205" s="6"/>
      <c r="C205" s="6"/>
      <c r="F205" s="6"/>
      <c r="G205" s="6"/>
      <c r="L205" s="7"/>
      <c r="M205" s="7"/>
      <c r="N205" s="7"/>
      <c r="O205" s="7"/>
      <c r="P205" s="7"/>
      <c r="Q205" s="7"/>
      <c r="R205" s="7"/>
      <c r="S205" s="8">
        <f>IF(E205="","",SUM(L205:O205) + Q205 + R205)</f>
      </c>
      <c r="T205" s="8">
        <f>IF(E205="","",S205*0.0275)</f>
      </c>
      <c r="U205" s="8">
        <f>IF(E205="","",IF(S205&gt;0, MIN(S205*0.06, 6480), 0))</f>
      </c>
      <c r="V205" s="7"/>
      <c r="W205" s="7"/>
      <c r="X205" s="7"/>
      <c r="Y205" s="8">
        <f>IF(E205="","",S205*0.015)</f>
      </c>
      <c r="Z205" s="8">
        <f>IF(E205="","",MAX(0, S205 - T205 - U205 - V205 - W205 - X205 - Y205 - IF(J205="Yes", 150000, 0)))</f>
      </c>
      <c r="AA205" s="8">
        <f>IF(E205="","",IF(OR(L205&gt;0, E205&lt;&gt;""), 2400, 0))</f>
      </c>
      <c r="AB205" s="7"/>
      <c r="AC205" s="8">
        <f>IF(E205="","",MAX(0, MAX(0, Z205*0.1) + MAX(0, (Z205-24000)*0.15) + MAX(0, (Z205-32333)*0.05) + MAX(0, (Z205-500000)*0.025) + MAX(0, (Z205-800000)*0.025) - AA205 - AB205))</f>
      </c>
      <c r="AD205" s="8">
        <f>IF(E205="","",AC205)</f>
      </c>
    </row>
    <row r="206" spans="1:30" x14ac:dyDescent="0.25">
      <c r="A206" s="6"/>
      <c r="B206" s="6"/>
      <c r="C206" s="6"/>
      <c r="F206" s="6"/>
      <c r="G206" s="6"/>
      <c r="L206" s="7"/>
      <c r="M206" s="7"/>
      <c r="N206" s="7"/>
      <c r="O206" s="7"/>
      <c r="P206" s="7"/>
      <c r="Q206" s="7"/>
      <c r="R206" s="7"/>
      <c r="S206" s="8">
        <f>IF(E206="","",SUM(L206:O206) + Q206 + R206)</f>
      </c>
      <c r="T206" s="8">
        <f>IF(E206="","",S206*0.0275)</f>
      </c>
      <c r="U206" s="8">
        <f>IF(E206="","",IF(S206&gt;0, MIN(S206*0.06, 6480), 0))</f>
      </c>
      <c r="V206" s="7"/>
      <c r="W206" s="7"/>
      <c r="X206" s="7"/>
      <c r="Y206" s="8">
        <f>IF(E206="","",S206*0.015)</f>
      </c>
      <c r="Z206" s="8">
        <f>IF(E206="","",MAX(0, S206 - T206 - U206 - V206 - W206 - X206 - Y206 - IF(J206="Yes", 150000, 0)))</f>
      </c>
      <c r="AA206" s="8">
        <f>IF(E206="","",IF(OR(L206&gt;0, E206&lt;&gt;""), 2400, 0))</f>
      </c>
      <c r="AB206" s="7"/>
      <c r="AC206" s="8">
        <f>IF(E206="","",MAX(0, MAX(0, Z206*0.1) + MAX(0, (Z206-24000)*0.15) + MAX(0, (Z206-32333)*0.05) + MAX(0, (Z206-500000)*0.025) + MAX(0, (Z206-800000)*0.025) - AA206 - AB206))</f>
      </c>
      <c r="AD206" s="8">
        <f>IF(E206="","",AC206)</f>
      </c>
    </row>
    <row r="207" spans="1:30" x14ac:dyDescent="0.25">
      <c r="A207" s="6"/>
      <c r="B207" s="6"/>
      <c r="C207" s="6"/>
      <c r="F207" s="6"/>
      <c r="G207" s="6"/>
      <c r="L207" s="7"/>
      <c r="M207" s="7"/>
      <c r="N207" s="7"/>
      <c r="O207" s="7"/>
      <c r="P207" s="7"/>
      <c r="Q207" s="7"/>
      <c r="R207" s="7"/>
      <c r="S207" s="8">
        <f>IF(E207="","",SUM(L207:O207) + Q207 + R207)</f>
      </c>
      <c r="T207" s="8">
        <f>IF(E207="","",S207*0.0275)</f>
      </c>
      <c r="U207" s="8">
        <f>IF(E207="","",IF(S207&gt;0, MIN(S207*0.06, 6480), 0))</f>
      </c>
      <c r="V207" s="7"/>
      <c r="W207" s="7"/>
      <c r="X207" s="7"/>
      <c r="Y207" s="8">
        <f>IF(E207="","",S207*0.015)</f>
      </c>
      <c r="Z207" s="8">
        <f>IF(E207="","",MAX(0, S207 - T207 - U207 - V207 - W207 - X207 - Y207 - IF(J207="Yes", 150000, 0)))</f>
      </c>
      <c r="AA207" s="8">
        <f>IF(E207="","",IF(OR(L207&gt;0, E207&lt;&gt;""), 2400, 0))</f>
      </c>
      <c r="AB207" s="7"/>
      <c r="AC207" s="8">
        <f>IF(E207="","",MAX(0, MAX(0, Z207*0.1) + MAX(0, (Z207-24000)*0.15) + MAX(0, (Z207-32333)*0.05) + MAX(0, (Z207-500000)*0.025) + MAX(0, (Z207-800000)*0.025) - AA207 - AB207))</f>
      </c>
      <c r="AD207" s="8">
        <f>IF(E207="","",AC207)</f>
      </c>
    </row>
    <row r="208" spans="1:30" x14ac:dyDescent="0.25">
      <c r="A208" s="6"/>
      <c r="B208" s="6"/>
      <c r="C208" s="6"/>
      <c r="F208" s="6"/>
      <c r="G208" s="6"/>
      <c r="L208" s="7"/>
      <c r="M208" s="7"/>
      <c r="N208" s="7"/>
      <c r="O208" s="7"/>
      <c r="P208" s="7"/>
      <c r="Q208" s="7"/>
      <c r="R208" s="7"/>
      <c r="S208" s="8">
        <f>IF(E208="","",SUM(L208:O208) + Q208 + R208)</f>
      </c>
      <c r="T208" s="8">
        <f>IF(E208="","",S208*0.0275)</f>
      </c>
      <c r="U208" s="8">
        <f>IF(E208="","",IF(S208&gt;0, MIN(S208*0.06, 6480), 0))</f>
      </c>
      <c r="V208" s="7"/>
      <c r="W208" s="7"/>
      <c r="X208" s="7"/>
      <c r="Y208" s="8">
        <f>IF(E208="","",S208*0.015)</f>
      </c>
      <c r="Z208" s="8">
        <f>IF(E208="","",MAX(0, S208 - T208 - U208 - V208 - W208 - X208 - Y208 - IF(J208="Yes", 150000, 0)))</f>
      </c>
      <c r="AA208" s="8">
        <f>IF(E208="","",IF(OR(L208&gt;0, E208&lt;&gt;""), 2400, 0))</f>
      </c>
      <c r="AB208" s="7"/>
      <c r="AC208" s="8">
        <f>IF(E208="","",MAX(0, MAX(0, Z208*0.1) + MAX(0, (Z208-24000)*0.15) + MAX(0, (Z208-32333)*0.05) + MAX(0, (Z208-500000)*0.025) + MAX(0, (Z208-800000)*0.025) - AA208 - AB208))</f>
      </c>
      <c r="AD208" s="8">
        <f>IF(E208="","",AC208)</f>
      </c>
    </row>
    <row r="209" spans="1:30" x14ac:dyDescent="0.25">
      <c r="A209" s="6"/>
      <c r="B209" s="6"/>
      <c r="C209" s="6"/>
      <c r="F209" s="6"/>
      <c r="G209" s="6"/>
      <c r="L209" s="7"/>
      <c r="M209" s="7"/>
      <c r="N209" s="7"/>
      <c r="O209" s="7"/>
      <c r="P209" s="7"/>
      <c r="Q209" s="7"/>
      <c r="R209" s="7"/>
      <c r="S209" s="8">
        <f>IF(E209="","",SUM(L209:O209) + Q209 + R209)</f>
      </c>
      <c r="T209" s="8">
        <f>IF(E209="","",S209*0.0275)</f>
      </c>
      <c r="U209" s="8">
        <f>IF(E209="","",IF(S209&gt;0, MIN(S209*0.06, 6480), 0))</f>
      </c>
      <c r="V209" s="7"/>
      <c r="W209" s="7"/>
      <c r="X209" s="7"/>
      <c r="Y209" s="8">
        <f>IF(E209="","",S209*0.015)</f>
      </c>
      <c r="Z209" s="8">
        <f>IF(E209="","",MAX(0, S209 - T209 - U209 - V209 - W209 - X209 - Y209 - IF(J209="Yes", 150000, 0)))</f>
      </c>
      <c r="AA209" s="8">
        <f>IF(E209="","",IF(OR(L209&gt;0, E209&lt;&gt;""), 2400, 0))</f>
      </c>
      <c r="AB209" s="7"/>
      <c r="AC209" s="8">
        <f>IF(E209="","",MAX(0, MAX(0, Z209*0.1) + MAX(0, (Z209-24000)*0.15) + MAX(0, (Z209-32333)*0.05) + MAX(0, (Z209-500000)*0.025) + MAX(0, (Z209-800000)*0.025) - AA209 - AB209))</f>
      </c>
      <c r="AD209" s="8">
        <f>IF(E209="","",AC209)</f>
      </c>
    </row>
    <row r="210" spans="1:30" x14ac:dyDescent="0.25">
      <c r="A210" s="6"/>
      <c r="B210" s="6"/>
      <c r="C210" s="6"/>
      <c r="F210" s="6"/>
      <c r="G210" s="6"/>
      <c r="L210" s="7"/>
      <c r="M210" s="7"/>
      <c r="N210" s="7"/>
      <c r="O210" s="7"/>
      <c r="P210" s="7"/>
      <c r="Q210" s="7"/>
      <c r="R210" s="7"/>
      <c r="S210" s="8">
        <f>IF(E210="","",SUM(L210:O210) + Q210 + R210)</f>
      </c>
      <c r="T210" s="8">
        <f>IF(E210="","",S210*0.0275)</f>
      </c>
      <c r="U210" s="8">
        <f>IF(E210="","",IF(S210&gt;0, MIN(S210*0.06, 6480), 0))</f>
      </c>
      <c r="V210" s="7"/>
      <c r="W210" s="7"/>
      <c r="X210" s="7"/>
      <c r="Y210" s="8">
        <f>IF(E210="","",S210*0.015)</f>
      </c>
      <c r="Z210" s="8">
        <f>IF(E210="","",MAX(0, S210 - T210 - U210 - V210 - W210 - X210 - Y210 - IF(J210="Yes", 150000, 0)))</f>
      </c>
      <c r="AA210" s="8">
        <f>IF(E210="","",IF(OR(L210&gt;0, E210&lt;&gt;""), 2400, 0))</f>
      </c>
      <c r="AB210" s="7"/>
      <c r="AC210" s="8">
        <f>IF(E210="","",MAX(0, MAX(0, Z210*0.1) + MAX(0, (Z210-24000)*0.15) + MAX(0, (Z210-32333)*0.05) + MAX(0, (Z210-500000)*0.025) + MAX(0, (Z210-800000)*0.025) - AA210 - AB210))</f>
      </c>
      <c r="AD210" s="8">
        <f>IF(E210="","",AC210)</f>
      </c>
    </row>
    <row r="211" spans="1:30" x14ac:dyDescent="0.25">
      <c r="A211" s="6"/>
      <c r="B211" s="6"/>
      <c r="C211" s="6"/>
      <c r="F211" s="6"/>
      <c r="G211" s="6"/>
      <c r="L211" s="7"/>
      <c r="M211" s="7"/>
      <c r="N211" s="7"/>
      <c r="O211" s="7"/>
      <c r="P211" s="7"/>
      <c r="Q211" s="7"/>
      <c r="R211" s="7"/>
      <c r="S211" s="8">
        <f>IF(E211="","",SUM(L211:O211) + Q211 + R211)</f>
      </c>
      <c r="T211" s="8">
        <f>IF(E211="","",S211*0.0275)</f>
      </c>
      <c r="U211" s="8">
        <f>IF(E211="","",IF(S211&gt;0, MIN(S211*0.06, 6480), 0))</f>
      </c>
      <c r="V211" s="7"/>
      <c r="W211" s="7"/>
      <c r="X211" s="7"/>
      <c r="Y211" s="8">
        <f>IF(E211="","",S211*0.015)</f>
      </c>
      <c r="Z211" s="8">
        <f>IF(E211="","",MAX(0, S211 - T211 - U211 - V211 - W211 - X211 - Y211 - IF(J211="Yes", 150000, 0)))</f>
      </c>
      <c r="AA211" s="8">
        <f>IF(E211="","",IF(OR(L211&gt;0, E211&lt;&gt;""), 2400, 0))</f>
      </c>
      <c r="AB211" s="7"/>
      <c r="AC211" s="8">
        <f>IF(E211="","",MAX(0, MAX(0, Z211*0.1) + MAX(0, (Z211-24000)*0.15) + MAX(0, (Z211-32333)*0.05) + MAX(0, (Z211-500000)*0.025) + MAX(0, (Z211-800000)*0.025) - AA211 - AB211))</f>
      </c>
      <c r="AD211" s="8">
        <f>IF(E211="","",AC211)</f>
      </c>
    </row>
    <row r="212" spans="1:30" x14ac:dyDescent="0.25">
      <c r="A212" s="6"/>
      <c r="B212" s="6"/>
      <c r="C212" s="6"/>
      <c r="F212" s="6"/>
      <c r="G212" s="6"/>
      <c r="L212" s="7"/>
      <c r="M212" s="7"/>
      <c r="N212" s="7"/>
      <c r="O212" s="7"/>
      <c r="P212" s="7"/>
      <c r="Q212" s="7"/>
      <c r="R212" s="7"/>
      <c r="S212" s="8">
        <f>IF(E212="","",SUM(L212:O212) + Q212 + R212)</f>
      </c>
      <c r="T212" s="8">
        <f>IF(E212="","",S212*0.0275)</f>
      </c>
      <c r="U212" s="8">
        <f>IF(E212="","",IF(S212&gt;0, MIN(S212*0.06, 6480), 0))</f>
      </c>
      <c r="V212" s="7"/>
      <c r="W212" s="7"/>
      <c r="X212" s="7"/>
      <c r="Y212" s="8">
        <f>IF(E212="","",S212*0.015)</f>
      </c>
      <c r="Z212" s="8">
        <f>IF(E212="","",MAX(0, S212 - T212 - U212 - V212 - W212 - X212 - Y212 - IF(J212="Yes", 150000, 0)))</f>
      </c>
      <c r="AA212" s="8">
        <f>IF(E212="","",IF(OR(L212&gt;0, E212&lt;&gt;""), 2400, 0))</f>
      </c>
      <c r="AB212" s="7"/>
      <c r="AC212" s="8">
        <f>IF(E212="","",MAX(0, MAX(0, Z212*0.1) + MAX(0, (Z212-24000)*0.15) + MAX(0, (Z212-32333)*0.05) + MAX(0, (Z212-500000)*0.025) + MAX(0, (Z212-800000)*0.025) - AA212 - AB212))</f>
      </c>
      <c r="AD212" s="8">
        <f>IF(E212="","",AC212)</f>
      </c>
    </row>
    <row r="213" spans="1:30" x14ac:dyDescent="0.25">
      <c r="A213" s="6"/>
      <c r="B213" s="6"/>
      <c r="C213" s="6"/>
      <c r="F213" s="6"/>
      <c r="G213" s="6"/>
      <c r="L213" s="7"/>
      <c r="M213" s="7"/>
      <c r="N213" s="7"/>
      <c r="O213" s="7"/>
      <c r="P213" s="7"/>
      <c r="Q213" s="7"/>
      <c r="R213" s="7"/>
      <c r="S213" s="8">
        <f>IF(E213="","",SUM(L213:O213) + Q213 + R213)</f>
      </c>
      <c r="T213" s="8">
        <f>IF(E213="","",S213*0.0275)</f>
      </c>
      <c r="U213" s="8">
        <f>IF(E213="","",IF(S213&gt;0, MIN(S213*0.06, 6480), 0))</f>
      </c>
      <c r="V213" s="7"/>
      <c r="W213" s="7"/>
      <c r="X213" s="7"/>
      <c r="Y213" s="8">
        <f>IF(E213="","",S213*0.015)</f>
      </c>
      <c r="Z213" s="8">
        <f>IF(E213="","",MAX(0, S213 - T213 - U213 - V213 - W213 - X213 - Y213 - IF(J213="Yes", 150000, 0)))</f>
      </c>
      <c r="AA213" s="8">
        <f>IF(E213="","",IF(OR(L213&gt;0, E213&lt;&gt;""), 2400, 0))</f>
      </c>
      <c r="AB213" s="7"/>
      <c r="AC213" s="8">
        <f>IF(E213="","",MAX(0, MAX(0, Z213*0.1) + MAX(0, (Z213-24000)*0.15) + MAX(0, (Z213-32333)*0.05) + MAX(0, (Z213-500000)*0.025) + MAX(0, (Z213-800000)*0.025) - AA213 - AB213))</f>
      </c>
      <c r="AD213" s="8">
        <f>IF(E213="","",AC213)</f>
      </c>
    </row>
    <row r="214" spans="1:30" x14ac:dyDescent="0.25">
      <c r="A214" s="6"/>
      <c r="B214" s="6"/>
      <c r="C214" s="6"/>
      <c r="F214" s="6"/>
      <c r="G214" s="6"/>
      <c r="L214" s="7"/>
      <c r="M214" s="7"/>
      <c r="N214" s="7"/>
      <c r="O214" s="7"/>
      <c r="P214" s="7"/>
      <c r="Q214" s="7"/>
      <c r="R214" s="7"/>
      <c r="S214" s="8">
        <f>IF(E214="","",SUM(L214:O214) + Q214 + R214)</f>
      </c>
      <c r="T214" s="8">
        <f>IF(E214="","",S214*0.0275)</f>
      </c>
      <c r="U214" s="8">
        <f>IF(E214="","",IF(S214&gt;0, MIN(S214*0.06, 6480), 0))</f>
      </c>
      <c r="V214" s="7"/>
      <c r="W214" s="7"/>
      <c r="X214" s="7"/>
      <c r="Y214" s="8">
        <f>IF(E214="","",S214*0.015)</f>
      </c>
      <c r="Z214" s="8">
        <f>IF(E214="","",MAX(0, S214 - T214 - U214 - V214 - W214 - X214 - Y214 - IF(J214="Yes", 150000, 0)))</f>
      </c>
      <c r="AA214" s="8">
        <f>IF(E214="","",IF(OR(L214&gt;0, E214&lt;&gt;""), 2400, 0))</f>
      </c>
      <c r="AB214" s="7"/>
      <c r="AC214" s="8">
        <f>IF(E214="","",MAX(0, MAX(0, Z214*0.1) + MAX(0, (Z214-24000)*0.15) + MAX(0, (Z214-32333)*0.05) + MAX(0, (Z214-500000)*0.025) + MAX(0, (Z214-800000)*0.025) - AA214 - AB214))</f>
      </c>
      <c r="AD214" s="8">
        <f>IF(E214="","",AC214)</f>
      </c>
    </row>
    <row r="215" spans="1:30" x14ac:dyDescent="0.25">
      <c r="A215" s="6"/>
      <c r="B215" s="6"/>
      <c r="C215" s="6"/>
      <c r="F215" s="6"/>
      <c r="G215" s="6"/>
      <c r="L215" s="7"/>
      <c r="M215" s="7"/>
      <c r="N215" s="7"/>
      <c r="O215" s="7"/>
      <c r="P215" s="7"/>
      <c r="Q215" s="7"/>
      <c r="R215" s="7"/>
      <c r="S215" s="8">
        <f>IF(E215="","",SUM(L215:O215) + Q215 + R215)</f>
      </c>
      <c r="T215" s="8">
        <f>IF(E215="","",S215*0.0275)</f>
      </c>
      <c r="U215" s="8">
        <f>IF(E215="","",IF(S215&gt;0, MIN(S215*0.06, 6480), 0))</f>
      </c>
      <c r="V215" s="7"/>
      <c r="W215" s="7"/>
      <c r="X215" s="7"/>
      <c r="Y215" s="8">
        <f>IF(E215="","",S215*0.015)</f>
      </c>
      <c r="Z215" s="8">
        <f>IF(E215="","",MAX(0, S215 - T215 - U215 - V215 - W215 - X215 - Y215 - IF(J215="Yes", 150000, 0)))</f>
      </c>
      <c r="AA215" s="8">
        <f>IF(E215="","",IF(OR(L215&gt;0, E215&lt;&gt;""), 2400, 0))</f>
      </c>
      <c r="AB215" s="7"/>
      <c r="AC215" s="8">
        <f>IF(E215="","",MAX(0, MAX(0, Z215*0.1) + MAX(0, (Z215-24000)*0.15) + MAX(0, (Z215-32333)*0.05) + MAX(0, (Z215-500000)*0.025) + MAX(0, (Z215-800000)*0.025) - AA215 - AB215))</f>
      </c>
      <c r="AD215" s="8">
        <f>IF(E215="","",AC215)</f>
      </c>
    </row>
    <row r="216" spans="1:30" x14ac:dyDescent="0.25">
      <c r="A216" s="6"/>
      <c r="B216" s="6"/>
      <c r="C216" s="6"/>
      <c r="F216" s="6"/>
      <c r="G216" s="6"/>
      <c r="L216" s="7"/>
      <c r="M216" s="7"/>
      <c r="N216" s="7"/>
      <c r="O216" s="7"/>
      <c r="P216" s="7"/>
      <c r="Q216" s="7"/>
      <c r="R216" s="7"/>
      <c r="S216" s="8">
        <f>IF(E216="","",SUM(L216:O216) + Q216 + R216)</f>
      </c>
      <c r="T216" s="8">
        <f>IF(E216="","",S216*0.0275)</f>
      </c>
      <c r="U216" s="8">
        <f>IF(E216="","",IF(S216&gt;0, MIN(S216*0.06, 6480), 0))</f>
      </c>
      <c r="V216" s="7"/>
      <c r="W216" s="7"/>
      <c r="X216" s="7"/>
      <c r="Y216" s="8">
        <f>IF(E216="","",S216*0.015)</f>
      </c>
      <c r="Z216" s="8">
        <f>IF(E216="","",MAX(0, S216 - T216 - U216 - V216 - W216 - X216 - Y216 - IF(J216="Yes", 150000, 0)))</f>
      </c>
      <c r="AA216" s="8">
        <f>IF(E216="","",IF(OR(L216&gt;0, E216&lt;&gt;""), 2400, 0))</f>
      </c>
      <c r="AB216" s="7"/>
      <c r="AC216" s="8">
        <f>IF(E216="","",MAX(0, MAX(0, Z216*0.1) + MAX(0, (Z216-24000)*0.15) + MAX(0, (Z216-32333)*0.05) + MAX(0, (Z216-500000)*0.025) + MAX(0, (Z216-800000)*0.025) - AA216 - AB216))</f>
      </c>
      <c r="AD216" s="8">
        <f>IF(E216="","",AC216)</f>
      </c>
    </row>
    <row r="217" spans="1:30" x14ac:dyDescent="0.25">
      <c r="A217" s="6"/>
      <c r="B217" s="6"/>
      <c r="C217" s="6"/>
      <c r="F217" s="6"/>
      <c r="G217" s="6"/>
      <c r="L217" s="7"/>
      <c r="M217" s="7"/>
      <c r="N217" s="7"/>
      <c r="O217" s="7"/>
      <c r="P217" s="7"/>
      <c r="Q217" s="7"/>
      <c r="R217" s="7"/>
      <c r="S217" s="8">
        <f>IF(E217="","",SUM(L217:O217) + Q217 + R217)</f>
      </c>
      <c r="T217" s="8">
        <f>IF(E217="","",S217*0.0275)</f>
      </c>
      <c r="U217" s="8">
        <f>IF(E217="","",IF(S217&gt;0, MIN(S217*0.06, 6480), 0))</f>
      </c>
      <c r="V217" s="7"/>
      <c r="W217" s="7"/>
      <c r="X217" s="7"/>
      <c r="Y217" s="8">
        <f>IF(E217="","",S217*0.015)</f>
      </c>
      <c r="Z217" s="8">
        <f>IF(E217="","",MAX(0, S217 - T217 - U217 - V217 - W217 - X217 - Y217 - IF(J217="Yes", 150000, 0)))</f>
      </c>
      <c r="AA217" s="8">
        <f>IF(E217="","",IF(OR(L217&gt;0, E217&lt;&gt;""), 2400, 0))</f>
      </c>
      <c r="AB217" s="7"/>
      <c r="AC217" s="8">
        <f>IF(E217="","",MAX(0, MAX(0, Z217*0.1) + MAX(0, (Z217-24000)*0.15) + MAX(0, (Z217-32333)*0.05) + MAX(0, (Z217-500000)*0.025) + MAX(0, (Z217-800000)*0.025) - AA217 - AB217))</f>
      </c>
      <c r="AD217" s="8">
        <f>IF(E217="","",AC217)</f>
      </c>
    </row>
    <row r="218" spans="1:30" x14ac:dyDescent="0.25">
      <c r="A218" s="6"/>
      <c r="B218" s="6"/>
      <c r="C218" s="6"/>
      <c r="F218" s="6"/>
      <c r="G218" s="6"/>
      <c r="L218" s="7"/>
      <c r="M218" s="7"/>
      <c r="N218" s="7"/>
      <c r="O218" s="7"/>
      <c r="P218" s="7"/>
      <c r="Q218" s="7"/>
      <c r="R218" s="7"/>
      <c r="S218" s="8">
        <f>IF(E218="","",SUM(L218:O218) + Q218 + R218)</f>
      </c>
      <c r="T218" s="8">
        <f>IF(E218="","",S218*0.0275)</f>
      </c>
      <c r="U218" s="8">
        <f>IF(E218="","",IF(S218&gt;0, MIN(S218*0.06, 6480), 0))</f>
      </c>
      <c r="V218" s="7"/>
      <c r="W218" s="7"/>
      <c r="X218" s="7"/>
      <c r="Y218" s="8">
        <f>IF(E218="","",S218*0.015)</f>
      </c>
      <c r="Z218" s="8">
        <f>IF(E218="","",MAX(0, S218 - T218 - U218 - V218 - W218 - X218 - Y218 - IF(J218="Yes", 150000, 0)))</f>
      </c>
      <c r="AA218" s="8">
        <f>IF(E218="","",IF(OR(L218&gt;0, E218&lt;&gt;""), 2400, 0))</f>
      </c>
      <c r="AB218" s="7"/>
      <c r="AC218" s="8">
        <f>IF(E218="","",MAX(0, MAX(0, Z218*0.1) + MAX(0, (Z218-24000)*0.15) + MAX(0, (Z218-32333)*0.05) + MAX(0, (Z218-500000)*0.025) + MAX(0, (Z218-800000)*0.025) - AA218 - AB218))</f>
      </c>
      <c r="AD218" s="8">
        <f>IF(E218="","",AC218)</f>
      </c>
    </row>
    <row r="219" spans="1:30" x14ac:dyDescent="0.25">
      <c r="A219" s="6"/>
      <c r="B219" s="6"/>
      <c r="C219" s="6"/>
      <c r="F219" s="6"/>
      <c r="G219" s="6"/>
      <c r="L219" s="7"/>
      <c r="M219" s="7"/>
      <c r="N219" s="7"/>
      <c r="O219" s="7"/>
      <c r="P219" s="7"/>
      <c r="Q219" s="7"/>
      <c r="R219" s="7"/>
      <c r="S219" s="8">
        <f>IF(E219="","",SUM(L219:O219) + Q219 + R219)</f>
      </c>
      <c r="T219" s="8">
        <f>IF(E219="","",S219*0.0275)</f>
      </c>
      <c r="U219" s="8">
        <f>IF(E219="","",IF(S219&gt;0, MIN(S219*0.06, 6480), 0))</f>
      </c>
      <c r="V219" s="7"/>
      <c r="W219" s="7"/>
      <c r="X219" s="7"/>
      <c r="Y219" s="8">
        <f>IF(E219="","",S219*0.015)</f>
      </c>
      <c r="Z219" s="8">
        <f>IF(E219="","",MAX(0, S219 - T219 - U219 - V219 - W219 - X219 - Y219 - IF(J219="Yes", 150000, 0)))</f>
      </c>
      <c r="AA219" s="8">
        <f>IF(E219="","",IF(OR(L219&gt;0, E219&lt;&gt;""), 2400, 0))</f>
      </c>
      <c r="AB219" s="7"/>
      <c r="AC219" s="8">
        <f>IF(E219="","",MAX(0, MAX(0, Z219*0.1) + MAX(0, (Z219-24000)*0.15) + MAX(0, (Z219-32333)*0.05) + MAX(0, (Z219-500000)*0.025) + MAX(0, (Z219-800000)*0.025) - AA219 - AB219))</f>
      </c>
      <c r="AD219" s="8">
        <f>IF(E219="","",AC219)</f>
      </c>
    </row>
    <row r="220" spans="1:30" x14ac:dyDescent="0.25">
      <c r="A220" s="6"/>
      <c r="B220" s="6"/>
      <c r="C220" s="6"/>
      <c r="F220" s="6"/>
      <c r="G220" s="6"/>
      <c r="L220" s="7"/>
      <c r="M220" s="7"/>
      <c r="N220" s="7"/>
      <c r="O220" s="7"/>
      <c r="P220" s="7"/>
      <c r="Q220" s="7"/>
      <c r="R220" s="7"/>
      <c r="S220" s="8">
        <f>IF(E220="","",SUM(L220:O220) + Q220 + R220)</f>
      </c>
      <c r="T220" s="8">
        <f>IF(E220="","",S220*0.0275)</f>
      </c>
      <c r="U220" s="8">
        <f>IF(E220="","",IF(S220&gt;0, MIN(S220*0.06, 6480), 0))</f>
      </c>
      <c r="V220" s="7"/>
      <c r="W220" s="7"/>
      <c r="X220" s="7"/>
      <c r="Y220" s="8">
        <f>IF(E220="","",S220*0.015)</f>
      </c>
      <c r="Z220" s="8">
        <f>IF(E220="","",MAX(0, S220 - T220 - U220 - V220 - W220 - X220 - Y220 - IF(J220="Yes", 150000, 0)))</f>
      </c>
      <c r="AA220" s="8">
        <f>IF(E220="","",IF(OR(L220&gt;0, E220&lt;&gt;""), 2400, 0))</f>
      </c>
      <c r="AB220" s="7"/>
      <c r="AC220" s="8">
        <f>IF(E220="","",MAX(0, MAX(0, Z220*0.1) + MAX(0, (Z220-24000)*0.15) + MAX(0, (Z220-32333)*0.05) + MAX(0, (Z220-500000)*0.025) + MAX(0, (Z220-800000)*0.025) - AA220 - AB220))</f>
      </c>
      <c r="AD220" s="8">
        <f>IF(E220="","",AC220)</f>
      </c>
    </row>
    <row r="221" spans="1:30" x14ac:dyDescent="0.25">
      <c r="A221" s="6"/>
      <c r="B221" s="6"/>
      <c r="C221" s="6"/>
      <c r="F221" s="6"/>
      <c r="G221" s="6"/>
      <c r="L221" s="7"/>
      <c r="M221" s="7"/>
      <c r="N221" s="7"/>
      <c r="O221" s="7"/>
      <c r="P221" s="7"/>
      <c r="Q221" s="7"/>
      <c r="R221" s="7"/>
      <c r="S221" s="8">
        <f>IF(E221="","",SUM(L221:O221) + Q221 + R221)</f>
      </c>
      <c r="T221" s="8">
        <f>IF(E221="","",S221*0.0275)</f>
      </c>
      <c r="U221" s="8">
        <f>IF(E221="","",IF(S221&gt;0, MIN(S221*0.06, 6480), 0))</f>
      </c>
      <c r="V221" s="7"/>
      <c r="W221" s="7"/>
      <c r="X221" s="7"/>
      <c r="Y221" s="8">
        <f>IF(E221="","",S221*0.015)</f>
      </c>
      <c r="Z221" s="8">
        <f>IF(E221="","",MAX(0, S221 - T221 - U221 - V221 - W221 - X221 - Y221 - IF(J221="Yes", 150000, 0)))</f>
      </c>
      <c r="AA221" s="8">
        <f>IF(E221="","",IF(OR(L221&gt;0, E221&lt;&gt;""), 2400, 0))</f>
      </c>
      <c r="AB221" s="7"/>
      <c r="AC221" s="8">
        <f>IF(E221="","",MAX(0, MAX(0, Z221*0.1) + MAX(0, (Z221-24000)*0.15) + MAX(0, (Z221-32333)*0.05) + MAX(0, (Z221-500000)*0.025) + MAX(0, (Z221-800000)*0.025) - AA221 - AB221))</f>
      </c>
      <c r="AD221" s="8">
        <f>IF(E221="","",AC221)</f>
      </c>
    </row>
    <row r="222" spans="1:30" x14ac:dyDescent="0.25">
      <c r="A222" s="6"/>
      <c r="B222" s="6"/>
      <c r="C222" s="6"/>
      <c r="F222" s="6"/>
      <c r="G222" s="6"/>
      <c r="L222" s="7"/>
      <c r="M222" s="7"/>
      <c r="N222" s="7"/>
      <c r="O222" s="7"/>
      <c r="P222" s="7"/>
      <c r="Q222" s="7"/>
      <c r="R222" s="7"/>
      <c r="S222" s="8">
        <f>IF(E222="","",SUM(L222:O222) + Q222 + R222)</f>
      </c>
      <c r="T222" s="8">
        <f>IF(E222="","",S222*0.0275)</f>
      </c>
      <c r="U222" s="8">
        <f>IF(E222="","",IF(S222&gt;0, MIN(S222*0.06, 6480), 0))</f>
      </c>
      <c r="V222" s="7"/>
      <c r="W222" s="7"/>
      <c r="X222" s="7"/>
      <c r="Y222" s="8">
        <f>IF(E222="","",S222*0.015)</f>
      </c>
      <c r="Z222" s="8">
        <f>IF(E222="","",MAX(0, S222 - T222 - U222 - V222 - W222 - X222 - Y222 - IF(J222="Yes", 150000, 0)))</f>
      </c>
      <c r="AA222" s="8">
        <f>IF(E222="","",IF(OR(L222&gt;0, E222&lt;&gt;""), 2400, 0))</f>
      </c>
      <c r="AB222" s="7"/>
      <c r="AC222" s="8">
        <f>IF(E222="","",MAX(0, MAX(0, Z222*0.1) + MAX(0, (Z222-24000)*0.15) + MAX(0, (Z222-32333)*0.05) + MAX(0, (Z222-500000)*0.025) + MAX(0, (Z222-800000)*0.025) - AA222 - AB222))</f>
      </c>
      <c r="AD222" s="8">
        <f>IF(E222="","",AC222)</f>
      </c>
    </row>
    <row r="223" spans="1:30" x14ac:dyDescent="0.25">
      <c r="A223" s="6"/>
      <c r="B223" s="6"/>
      <c r="C223" s="6"/>
      <c r="F223" s="6"/>
      <c r="G223" s="6"/>
      <c r="L223" s="7"/>
      <c r="M223" s="7"/>
      <c r="N223" s="7"/>
      <c r="O223" s="7"/>
      <c r="P223" s="7"/>
      <c r="Q223" s="7"/>
      <c r="R223" s="7"/>
      <c r="S223" s="8">
        <f>IF(E223="","",SUM(L223:O223) + Q223 + R223)</f>
      </c>
      <c r="T223" s="8">
        <f>IF(E223="","",S223*0.0275)</f>
      </c>
      <c r="U223" s="8">
        <f>IF(E223="","",IF(S223&gt;0, MIN(S223*0.06, 6480), 0))</f>
      </c>
      <c r="V223" s="7"/>
      <c r="W223" s="7"/>
      <c r="X223" s="7"/>
      <c r="Y223" s="8">
        <f>IF(E223="","",S223*0.015)</f>
      </c>
      <c r="Z223" s="8">
        <f>IF(E223="","",MAX(0, S223 - T223 - U223 - V223 - W223 - X223 - Y223 - IF(J223="Yes", 150000, 0)))</f>
      </c>
      <c r="AA223" s="8">
        <f>IF(E223="","",IF(OR(L223&gt;0, E223&lt;&gt;""), 2400, 0))</f>
      </c>
      <c r="AB223" s="7"/>
      <c r="AC223" s="8">
        <f>IF(E223="","",MAX(0, MAX(0, Z223*0.1) + MAX(0, (Z223-24000)*0.15) + MAX(0, (Z223-32333)*0.05) + MAX(0, (Z223-500000)*0.025) + MAX(0, (Z223-800000)*0.025) - AA223 - AB223))</f>
      </c>
      <c r="AD223" s="8">
        <f>IF(E223="","",AC223)</f>
      </c>
    </row>
    <row r="224" spans="1:30" x14ac:dyDescent="0.25">
      <c r="A224" s="6"/>
      <c r="B224" s="6"/>
      <c r="C224" s="6"/>
      <c r="F224" s="6"/>
      <c r="G224" s="6"/>
      <c r="L224" s="7"/>
      <c r="M224" s="7"/>
      <c r="N224" s="7"/>
      <c r="O224" s="7"/>
      <c r="P224" s="7"/>
      <c r="Q224" s="7"/>
      <c r="R224" s="7"/>
      <c r="S224" s="8">
        <f>IF(E224="","",SUM(L224:O224) + Q224 + R224)</f>
      </c>
      <c r="T224" s="8">
        <f>IF(E224="","",S224*0.0275)</f>
      </c>
      <c r="U224" s="8">
        <f>IF(E224="","",IF(S224&gt;0, MIN(S224*0.06, 6480), 0))</f>
      </c>
      <c r="V224" s="7"/>
      <c r="W224" s="7"/>
      <c r="X224" s="7"/>
      <c r="Y224" s="8">
        <f>IF(E224="","",S224*0.015)</f>
      </c>
      <c r="Z224" s="8">
        <f>IF(E224="","",MAX(0, S224 - T224 - U224 - V224 - W224 - X224 - Y224 - IF(J224="Yes", 150000, 0)))</f>
      </c>
      <c r="AA224" s="8">
        <f>IF(E224="","",IF(OR(L224&gt;0, E224&lt;&gt;""), 2400, 0))</f>
      </c>
      <c r="AB224" s="7"/>
      <c r="AC224" s="8">
        <f>IF(E224="","",MAX(0, MAX(0, Z224*0.1) + MAX(0, (Z224-24000)*0.15) + MAX(0, (Z224-32333)*0.05) + MAX(0, (Z224-500000)*0.025) + MAX(0, (Z224-800000)*0.025) - AA224 - AB224))</f>
      </c>
      <c r="AD224" s="8">
        <f>IF(E224="","",AC224)</f>
      </c>
    </row>
    <row r="225" spans="1:30" x14ac:dyDescent="0.25">
      <c r="A225" s="6"/>
      <c r="B225" s="6"/>
      <c r="C225" s="6"/>
      <c r="F225" s="6"/>
      <c r="G225" s="6"/>
      <c r="L225" s="7"/>
      <c r="M225" s="7"/>
      <c r="N225" s="7"/>
      <c r="O225" s="7"/>
      <c r="P225" s="7"/>
      <c r="Q225" s="7"/>
      <c r="R225" s="7"/>
      <c r="S225" s="8">
        <f>IF(E225="","",SUM(L225:O225) + Q225 + R225)</f>
      </c>
      <c r="T225" s="8">
        <f>IF(E225="","",S225*0.0275)</f>
      </c>
      <c r="U225" s="8">
        <f>IF(E225="","",IF(S225&gt;0, MIN(S225*0.06, 6480), 0))</f>
      </c>
      <c r="V225" s="7"/>
      <c r="W225" s="7"/>
      <c r="X225" s="7"/>
      <c r="Y225" s="8">
        <f>IF(E225="","",S225*0.015)</f>
      </c>
      <c r="Z225" s="8">
        <f>IF(E225="","",MAX(0, S225 - T225 - U225 - V225 - W225 - X225 - Y225 - IF(J225="Yes", 150000, 0)))</f>
      </c>
      <c r="AA225" s="8">
        <f>IF(E225="","",IF(OR(L225&gt;0, E225&lt;&gt;""), 2400, 0))</f>
      </c>
      <c r="AB225" s="7"/>
      <c r="AC225" s="8">
        <f>IF(E225="","",MAX(0, MAX(0, Z225*0.1) + MAX(0, (Z225-24000)*0.15) + MAX(0, (Z225-32333)*0.05) + MAX(0, (Z225-500000)*0.025) + MAX(0, (Z225-800000)*0.025) - AA225 - AB225))</f>
      </c>
      <c r="AD225" s="8">
        <f>IF(E225="","",AC225)</f>
      </c>
    </row>
    <row r="226" spans="1:30" x14ac:dyDescent="0.25">
      <c r="A226" s="6"/>
      <c r="B226" s="6"/>
      <c r="C226" s="6"/>
      <c r="F226" s="6"/>
      <c r="G226" s="6"/>
      <c r="L226" s="7"/>
      <c r="M226" s="7"/>
      <c r="N226" s="7"/>
      <c r="O226" s="7"/>
      <c r="P226" s="7"/>
      <c r="Q226" s="7"/>
      <c r="R226" s="7"/>
      <c r="S226" s="8">
        <f>IF(E226="","",SUM(L226:O226) + Q226 + R226)</f>
      </c>
      <c r="T226" s="8">
        <f>IF(E226="","",S226*0.0275)</f>
      </c>
      <c r="U226" s="8">
        <f>IF(E226="","",IF(S226&gt;0, MIN(S226*0.06, 6480), 0))</f>
      </c>
      <c r="V226" s="7"/>
      <c r="W226" s="7"/>
      <c r="X226" s="7"/>
      <c r="Y226" s="8">
        <f>IF(E226="","",S226*0.015)</f>
      </c>
      <c r="Z226" s="8">
        <f>IF(E226="","",MAX(0, S226 - T226 - U226 - V226 - W226 - X226 - Y226 - IF(J226="Yes", 150000, 0)))</f>
      </c>
      <c r="AA226" s="8">
        <f>IF(E226="","",IF(OR(L226&gt;0, E226&lt;&gt;""), 2400, 0))</f>
      </c>
      <c r="AB226" s="7"/>
      <c r="AC226" s="8">
        <f>IF(E226="","",MAX(0, MAX(0, Z226*0.1) + MAX(0, (Z226-24000)*0.15) + MAX(0, (Z226-32333)*0.05) + MAX(0, (Z226-500000)*0.025) + MAX(0, (Z226-800000)*0.025) - AA226 - AB226))</f>
      </c>
      <c r="AD226" s="8">
        <f>IF(E226="","",AC226)</f>
      </c>
    </row>
    <row r="227" spans="1:30" x14ac:dyDescent="0.25">
      <c r="A227" s="6"/>
      <c r="B227" s="6"/>
      <c r="C227" s="6"/>
      <c r="F227" s="6"/>
      <c r="G227" s="6"/>
      <c r="L227" s="7"/>
      <c r="M227" s="7"/>
      <c r="N227" s="7"/>
      <c r="O227" s="7"/>
      <c r="P227" s="7"/>
      <c r="Q227" s="7"/>
      <c r="R227" s="7"/>
      <c r="S227" s="8">
        <f>IF(E227="","",SUM(L227:O227) + Q227 + R227)</f>
      </c>
      <c r="T227" s="8">
        <f>IF(E227="","",S227*0.0275)</f>
      </c>
      <c r="U227" s="8">
        <f>IF(E227="","",IF(S227&gt;0, MIN(S227*0.06, 6480), 0))</f>
      </c>
      <c r="V227" s="7"/>
      <c r="W227" s="7"/>
      <c r="X227" s="7"/>
      <c r="Y227" s="8">
        <f>IF(E227="","",S227*0.015)</f>
      </c>
      <c r="Z227" s="8">
        <f>IF(E227="","",MAX(0, S227 - T227 - U227 - V227 - W227 - X227 - Y227 - IF(J227="Yes", 150000, 0)))</f>
      </c>
      <c r="AA227" s="8">
        <f>IF(E227="","",IF(OR(L227&gt;0, E227&lt;&gt;""), 2400, 0))</f>
      </c>
      <c r="AB227" s="7"/>
      <c r="AC227" s="8">
        <f>IF(E227="","",MAX(0, MAX(0, Z227*0.1) + MAX(0, (Z227-24000)*0.15) + MAX(0, (Z227-32333)*0.05) + MAX(0, (Z227-500000)*0.025) + MAX(0, (Z227-800000)*0.025) - AA227 - AB227))</f>
      </c>
      <c r="AD227" s="8">
        <f>IF(E227="","",AC227)</f>
      </c>
    </row>
    <row r="228" spans="1:30" x14ac:dyDescent="0.25">
      <c r="A228" s="6"/>
      <c r="B228" s="6"/>
      <c r="C228" s="6"/>
      <c r="F228" s="6"/>
      <c r="G228" s="6"/>
      <c r="L228" s="7"/>
      <c r="M228" s="7"/>
      <c r="N228" s="7"/>
      <c r="O228" s="7"/>
      <c r="P228" s="7"/>
      <c r="Q228" s="7"/>
      <c r="R228" s="7"/>
      <c r="S228" s="8">
        <f>IF(E228="","",SUM(L228:O228) + Q228 + R228)</f>
      </c>
      <c r="T228" s="8">
        <f>IF(E228="","",S228*0.0275)</f>
      </c>
      <c r="U228" s="8">
        <f>IF(E228="","",IF(S228&gt;0, MIN(S228*0.06, 6480), 0))</f>
      </c>
      <c r="V228" s="7"/>
      <c r="W228" s="7"/>
      <c r="X228" s="7"/>
      <c r="Y228" s="8">
        <f>IF(E228="","",S228*0.015)</f>
      </c>
      <c r="Z228" s="8">
        <f>IF(E228="","",MAX(0, S228 - T228 - U228 - V228 - W228 - X228 - Y228 - IF(J228="Yes", 150000, 0)))</f>
      </c>
      <c r="AA228" s="8">
        <f>IF(E228="","",IF(OR(L228&gt;0, E228&lt;&gt;""), 2400, 0))</f>
      </c>
      <c r="AB228" s="7"/>
      <c r="AC228" s="8">
        <f>IF(E228="","",MAX(0, MAX(0, Z228*0.1) + MAX(0, (Z228-24000)*0.15) + MAX(0, (Z228-32333)*0.05) + MAX(0, (Z228-500000)*0.025) + MAX(0, (Z228-800000)*0.025) - AA228 - AB228))</f>
      </c>
      <c r="AD228" s="8">
        <f>IF(E228="","",AC228)</f>
      </c>
    </row>
    <row r="229" spans="1:30" x14ac:dyDescent="0.25">
      <c r="A229" s="6"/>
      <c r="B229" s="6"/>
      <c r="C229" s="6"/>
      <c r="F229" s="6"/>
      <c r="G229" s="6"/>
      <c r="L229" s="7"/>
      <c r="M229" s="7"/>
      <c r="N229" s="7"/>
      <c r="O229" s="7"/>
      <c r="P229" s="7"/>
      <c r="Q229" s="7"/>
      <c r="R229" s="7"/>
      <c r="S229" s="8">
        <f>IF(E229="","",SUM(L229:O229) + Q229 + R229)</f>
      </c>
      <c r="T229" s="8">
        <f>IF(E229="","",S229*0.0275)</f>
      </c>
      <c r="U229" s="8">
        <f>IF(E229="","",IF(S229&gt;0, MIN(S229*0.06, 6480), 0))</f>
      </c>
      <c r="V229" s="7"/>
      <c r="W229" s="7"/>
      <c r="X229" s="7"/>
      <c r="Y229" s="8">
        <f>IF(E229="","",S229*0.015)</f>
      </c>
      <c r="Z229" s="8">
        <f>IF(E229="","",MAX(0, S229 - T229 - U229 - V229 - W229 - X229 - Y229 - IF(J229="Yes", 150000, 0)))</f>
      </c>
      <c r="AA229" s="8">
        <f>IF(E229="","",IF(OR(L229&gt;0, E229&lt;&gt;""), 2400, 0))</f>
      </c>
      <c r="AB229" s="7"/>
      <c r="AC229" s="8">
        <f>IF(E229="","",MAX(0, MAX(0, Z229*0.1) + MAX(0, (Z229-24000)*0.15) + MAX(0, (Z229-32333)*0.05) + MAX(0, (Z229-500000)*0.025) + MAX(0, (Z229-800000)*0.025) - AA229 - AB229))</f>
      </c>
      <c r="AD229" s="8">
        <f>IF(E229="","",AC229)</f>
      </c>
    </row>
    <row r="230" spans="1:30" x14ac:dyDescent="0.25">
      <c r="A230" s="6"/>
      <c r="B230" s="6"/>
      <c r="C230" s="6"/>
      <c r="F230" s="6"/>
      <c r="G230" s="6"/>
      <c r="L230" s="7"/>
      <c r="M230" s="7"/>
      <c r="N230" s="7"/>
      <c r="O230" s="7"/>
      <c r="P230" s="7"/>
      <c r="Q230" s="7"/>
      <c r="R230" s="7"/>
      <c r="S230" s="8">
        <f>IF(E230="","",SUM(L230:O230) + Q230 + R230)</f>
      </c>
      <c r="T230" s="8">
        <f>IF(E230="","",S230*0.0275)</f>
      </c>
      <c r="U230" s="8">
        <f>IF(E230="","",IF(S230&gt;0, MIN(S230*0.06, 6480), 0))</f>
      </c>
      <c r="V230" s="7"/>
      <c r="W230" s="7"/>
      <c r="X230" s="7"/>
      <c r="Y230" s="8">
        <f>IF(E230="","",S230*0.015)</f>
      </c>
      <c r="Z230" s="8">
        <f>IF(E230="","",MAX(0, S230 - T230 - U230 - V230 - W230 - X230 - Y230 - IF(J230="Yes", 150000, 0)))</f>
      </c>
      <c r="AA230" s="8">
        <f>IF(E230="","",IF(OR(L230&gt;0, E230&lt;&gt;""), 2400, 0))</f>
      </c>
      <c r="AB230" s="7"/>
      <c r="AC230" s="8">
        <f>IF(E230="","",MAX(0, MAX(0, Z230*0.1) + MAX(0, (Z230-24000)*0.15) + MAX(0, (Z230-32333)*0.05) + MAX(0, (Z230-500000)*0.025) + MAX(0, (Z230-800000)*0.025) - AA230 - AB230))</f>
      </c>
      <c r="AD230" s="8">
        <f>IF(E230="","",AC230)</f>
      </c>
    </row>
    <row r="231" spans="1:30" x14ac:dyDescent="0.25">
      <c r="A231" s="6"/>
      <c r="B231" s="6"/>
      <c r="C231" s="6"/>
      <c r="F231" s="6"/>
      <c r="G231" s="6"/>
      <c r="L231" s="7"/>
      <c r="M231" s="7"/>
      <c r="N231" s="7"/>
      <c r="O231" s="7"/>
      <c r="P231" s="7"/>
      <c r="Q231" s="7"/>
      <c r="R231" s="7"/>
      <c r="S231" s="8">
        <f>IF(E231="","",SUM(L231:O231) + Q231 + R231)</f>
      </c>
      <c r="T231" s="8">
        <f>IF(E231="","",S231*0.0275)</f>
      </c>
      <c r="U231" s="8">
        <f>IF(E231="","",IF(S231&gt;0, MIN(S231*0.06, 6480), 0))</f>
      </c>
      <c r="V231" s="7"/>
      <c r="W231" s="7"/>
      <c r="X231" s="7"/>
      <c r="Y231" s="8">
        <f>IF(E231="","",S231*0.015)</f>
      </c>
      <c r="Z231" s="8">
        <f>IF(E231="","",MAX(0, S231 - T231 - U231 - V231 - W231 - X231 - Y231 - IF(J231="Yes", 150000, 0)))</f>
      </c>
      <c r="AA231" s="8">
        <f>IF(E231="","",IF(OR(L231&gt;0, E231&lt;&gt;""), 2400, 0))</f>
      </c>
      <c r="AB231" s="7"/>
      <c r="AC231" s="8">
        <f>IF(E231="","",MAX(0, MAX(0, Z231*0.1) + MAX(0, (Z231-24000)*0.15) + MAX(0, (Z231-32333)*0.05) + MAX(0, (Z231-500000)*0.025) + MAX(0, (Z231-800000)*0.025) - AA231 - AB231))</f>
      </c>
      <c r="AD231" s="8">
        <f>IF(E231="","",AC231)</f>
      </c>
    </row>
    <row r="232" spans="1:30" x14ac:dyDescent="0.25">
      <c r="A232" s="6"/>
      <c r="B232" s="6"/>
      <c r="C232" s="6"/>
      <c r="F232" s="6"/>
      <c r="G232" s="6"/>
      <c r="L232" s="7"/>
      <c r="M232" s="7"/>
      <c r="N232" s="7"/>
      <c r="O232" s="7"/>
      <c r="P232" s="7"/>
      <c r="Q232" s="7"/>
      <c r="R232" s="7"/>
      <c r="S232" s="8">
        <f>IF(E232="","",SUM(L232:O232) + Q232 + R232)</f>
      </c>
      <c r="T232" s="8">
        <f>IF(E232="","",S232*0.0275)</f>
      </c>
      <c r="U232" s="8">
        <f>IF(E232="","",IF(S232&gt;0, MIN(S232*0.06, 6480), 0))</f>
      </c>
      <c r="V232" s="7"/>
      <c r="W232" s="7"/>
      <c r="X232" s="7"/>
      <c r="Y232" s="8">
        <f>IF(E232="","",S232*0.015)</f>
      </c>
      <c r="Z232" s="8">
        <f>IF(E232="","",MAX(0, S232 - T232 - U232 - V232 - W232 - X232 - Y232 - IF(J232="Yes", 150000, 0)))</f>
      </c>
      <c r="AA232" s="8">
        <f>IF(E232="","",IF(OR(L232&gt;0, E232&lt;&gt;""), 2400, 0))</f>
      </c>
      <c r="AB232" s="7"/>
      <c r="AC232" s="8">
        <f>IF(E232="","",MAX(0, MAX(0, Z232*0.1) + MAX(0, (Z232-24000)*0.15) + MAX(0, (Z232-32333)*0.05) + MAX(0, (Z232-500000)*0.025) + MAX(0, (Z232-800000)*0.025) - AA232 - AB232))</f>
      </c>
      <c r="AD232" s="8">
        <f>IF(E232="","",AC232)</f>
      </c>
    </row>
    <row r="233" spans="1:30" x14ac:dyDescent="0.25">
      <c r="A233" s="6"/>
      <c r="B233" s="6"/>
      <c r="C233" s="6"/>
      <c r="F233" s="6"/>
      <c r="G233" s="6"/>
      <c r="L233" s="7"/>
      <c r="M233" s="7"/>
      <c r="N233" s="7"/>
      <c r="O233" s="7"/>
      <c r="P233" s="7"/>
      <c r="Q233" s="7"/>
      <c r="R233" s="7"/>
      <c r="S233" s="8">
        <f>IF(E233="","",SUM(L233:O233) + Q233 + R233)</f>
      </c>
      <c r="T233" s="8">
        <f>IF(E233="","",S233*0.0275)</f>
      </c>
      <c r="U233" s="8">
        <f>IF(E233="","",IF(S233&gt;0, MIN(S233*0.06, 6480), 0))</f>
      </c>
      <c r="V233" s="7"/>
      <c r="W233" s="7"/>
      <c r="X233" s="7"/>
      <c r="Y233" s="8">
        <f>IF(E233="","",S233*0.015)</f>
      </c>
      <c r="Z233" s="8">
        <f>IF(E233="","",MAX(0, S233 - T233 - U233 - V233 - W233 - X233 - Y233 - IF(J233="Yes", 150000, 0)))</f>
      </c>
      <c r="AA233" s="8">
        <f>IF(E233="","",IF(OR(L233&gt;0, E233&lt;&gt;""), 2400, 0))</f>
      </c>
      <c r="AB233" s="7"/>
      <c r="AC233" s="8">
        <f>IF(E233="","",MAX(0, MAX(0, Z233*0.1) + MAX(0, (Z233-24000)*0.15) + MAX(0, (Z233-32333)*0.05) + MAX(0, (Z233-500000)*0.025) + MAX(0, (Z233-800000)*0.025) - AA233 - AB233))</f>
      </c>
      <c r="AD233" s="8">
        <f>IF(E233="","",AC233)</f>
      </c>
    </row>
    <row r="234" spans="1:30" x14ac:dyDescent="0.25">
      <c r="A234" s="6"/>
      <c r="B234" s="6"/>
      <c r="C234" s="6"/>
      <c r="F234" s="6"/>
      <c r="G234" s="6"/>
      <c r="L234" s="7"/>
      <c r="M234" s="7"/>
      <c r="N234" s="7"/>
      <c r="O234" s="7"/>
      <c r="P234" s="7"/>
      <c r="Q234" s="7"/>
      <c r="R234" s="7"/>
      <c r="S234" s="8">
        <f>IF(E234="","",SUM(L234:O234) + Q234 + R234)</f>
      </c>
      <c r="T234" s="8">
        <f>IF(E234="","",S234*0.0275)</f>
      </c>
      <c r="U234" s="8">
        <f>IF(E234="","",IF(S234&gt;0, MIN(S234*0.06, 6480), 0))</f>
      </c>
      <c r="V234" s="7"/>
      <c r="W234" s="7"/>
      <c r="X234" s="7"/>
      <c r="Y234" s="8">
        <f>IF(E234="","",S234*0.015)</f>
      </c>
      <c r="Z234" s="8">
        <f>IF(E234="","",MAX(0, S234 - T234 - U234 - V234 - W234 - X234 - Y234 - IF(J234="Yes", 150000, 0)))</f>
      </c>
      <c r="AA234" s="8">
        <f>IF(E234="","",IF(OR(L234&gt;0, E234&lt;&gt;""), 2400, 0))</f>
      </c>
      <c r="AB234" s="7"/>
      <c r="AC234" s="8">
        <f>IF(E234="","",MAX(0, MAX(0, Z234*0.1) + MAX(0, (Z234-24000)*0.15) + MAX(0, (Z234-32333)*0.05) + MAX(0, (Z234-500000)*0.025) + MAX(0, (Z234-800000)*0.025) - AA234 - AB234))</f>
      </c>
      <c r="AD234" s="8">
        <f>IF(E234="","",AC234)</f>
      </c>
    </row>
    <row r="235" spans="1:30" x14ac:dyDescent="0.25">
      <c r="A235" s="6"/>
      <c r="B235" s="6"/>
      <c r="C235" s="6"/>
      <c r="F235" s="6"/>
      <c r="G235" s="6"/>
      <c r="L235" s="7"/>
      <c r="M235" s="7"/>
      <c r="N235" s="7"/>
      <c r="O235" s="7"/>
      <c r="P235" s="7"/>
      <c r="Q235" s="7"/>
      <c r="R235" s="7"/>
      <c r="S235" s="8">
        <f>IF(E235="","",SUM(L235:O235) + Q235 + R235)</f>
      </c>
      <c r="T235" s="8">
        <f>IF(E235="","",S235*0.0275)</f>
      </c>
      <c r="U235" s="8">
        <f>IF(E235="","",IF(S235&gt;0, MIN(S235*0.06, 6480), 0))</f>
      </c>
      <c r="V235" s="7"/>
      <c r="W235" s="7"/>
      <c r="X235" s="7"/>
      <c r="Y235" s="8">
        <f>IF(E235="","",S235*0.015)</f>
      </c>
      <c r="Z235" s="8">
        <f>IF(E235="","",MAX(0, S235 - T235 - U235 - V235 - W235 - X235 - Y235 - IF(J235="Yes", 150000, 0)))</f>
      </c>
      <c r="AA235" s="8">
        <f>IF(E235="","",IF(OR(L235&gt;0, E235&lt;&gt;""), 2400, 0))</f>
      </c>
      <c r="AB235" s="7"/>
      <c r="AC235" s="8">
        <f>IF(E235="","",MAX(0, MAX(0, Z235*0.1) + MAX(0, (Z235-24000)*0.15) + MAX(0, (Z235-32333)*0.05) + MAX(0, (Z235-500000)*0.025) + MAX(0, (Z235-800000)*0.025) - AA235 - AB235))</f>
      </c>
      <c r="AD235" s="8">
        <f>IF(E235="","",AC235)</f>
      </c>
    </row>
    <row r="236" spans="1:30" x14ac:dyDescent="0.25">
      <c r="A236" s="6"/>
      <c r="B236" s="6"/>
      <c r="C236" s="6"/>
      <c r="F236" s="6"/>
      <c r="G236" s="6"/>
      <c r="L236" s="7"/>
      <c r="M236" s="7"/>
      <c r="N236" s="7"/>
      <c r="O236" s="7"/>
      <c r="P236" s="7"/>
      <c r="Q236" s="7"/>
      <c r="R236" s="7"/>
      <c r="S236" s="8">
        <f>IF(E236="","",SUM(L236:O236) + Q236 + R236)</f>
      </c>
      <c r="T236" s="8">
        <f>IF(E236="","",S236*0.0275)</f>
      </c>
      <c r="U236" s="8">
        <f>IF(E236="","",IF(S236&gt;0, MIN(S236*0.06, 6480), 0))</f>
      </c>
      <c r="V236" s="7"/>
      <c r="W236" s="7"/>
      <c r="X236" s="7"/>
      <c r="Y236" s="8">
        <f>IF(E236="","",S236*0.015)</f>
      </c>
      <c r="Z236" s="8">
        <f>IF(E236="","",MAX(0, S236 - T236 - U236 - V236 - W236 - X236 - Y236 - IF(J236="Yes", 150000, 0)))</f>
      </c>
      <c r="AA236" s="8">
        <f>IF(E236="","",IF(OR(L236&gt;0, E236&lt;&gt;""), 2400, 0))</f>
      </c>
      <c r="AB236" s="7"/>
      <c r="AC236" s="8">
        <f>IF(E236="","",MAX(0, MAX(0, Z236*0.1) + MAX(0, (Z236-24000)*0.15) + MAX(0, (Z236-32333)*0.05) + MAX(0, (Z236-500000)*0.025) + MAX(0, (Z236-800000)*0.025) - AA236 - AB236))</f>
      </c>
      <c r="AD236" s="8">
        <f>IF(E236="","",AC236)</f>
      </c>
    </row>
    <row r="237" spans="1:30" x14ac:dyDescent="0.25">
      <c r="A237" s="6"/>
      <c r="B237" s="6"/>
      <c r="C237" s="6"/>
      <c r="F237" s="6"/>
      <c r="G237" s="6"/>
      <c r="L237" s="7"/>
      <c r="M237" s="7"/>
      <c r="N237" s="7"/>
      <c r="O237" s="7"/>
      <c r="P237" s="7"/>
      <c r="Q237" s="7"/>
      <c r="R237" s="7"/>
      <c r="S237" s="8">
        <f>IF(E237="","",SUM(L237:O237) + Q237 + R237)</f>
      </c>
      <c r="T237" s="8">
        <f>IF(E237="","",S237*0.0275)</f>
      </c>
      <c r="U237" s="8">
        <f>IF(E237="","",IF(S237&gt;0, MIN(S237*0.06, 6480), 0))</f>
      </c>
      <c r="V237" s="7"/>
      <c r="W237" s="7"/>
      <c r="X237" s="7"/>
      <c r="Y237" s="8">
        <f>IF(E237="","",S237*0.015)</f>
      </c>
      <c r="Z237" s="8">
        <f>IF(E237="","",MAX(0, S237 - T237 - U237 - V237 - W237 - X237 - Y237 - IF(J237="Yes", 150000, 0)))</f>
      </c>
      <c r="AA237" s="8">
        <f>IF(E237="","",IF(OR(L237&gt;0, E237&lt;&gt;""), 2400, 0))</f>
      </c>
      <c r="AB237" s="7"/>
      <c r="AC237" s="8">
        <f>IF(E237="","",MAX(0, MAX(0, Z237*0.1) + MAX(0, (Z237-24000)*0.15) + MAX(0, (Z237-32333)*0.05) + MAX(0, (Z237-500000)*0.025) + MAX(0, (Z237-800000)*0.025) - AA237 - AB237))</f>
      </c>
      <c r="AD237" s="8">
        <f>IF(E237="","",AC237)</f>
      </c>
    </row>
    <row r="238" spans="1:30" x14ac:dyDescent="0.25">
      <c r="A238" s="6"/>
      <c r="B238" s="6"/>
      <c r="C238" s="6"/>
      <c r="F238" s="6"/>
      <c r="G238" s="6"/>
      <c r="L238" s="7"/>
      <c r="M238" s="7"/>
      <c r="N238" s="7"/>
      <c r="O238" s="7"/>
      <c r="P238" s="7"/>
      <c r="Q238" s="7"/>
      <c r="R238" s="7"/>
      <c r="S238" s="8">
        <f>IF(E238="","",SUM(L238:O238) + Q238 + R238)</f>
      </c>
      <c r="T238" s="8">
        <f>IF(E238="","",S238*0.0275)</f>
      </c>
      <c r="U238" s="8">
        <f>IF(E238="","",IF(S238&gt;0, MIN(S238*0.06, 6480), 0))</f>
      </c>
      <c r="V238" s="7"/>
      <c r="W238" s="7"/>
      <c r="X238" s="7"/>
      <c r="Y238" s="8">
        <f>IF(E238="","",S238*0.015)</f>
      </c>
      <c r="Z238" s="8">
        <f>IF(E238="","",MAX(0, S238 - T238 - U238 - V238 - W238 - X238 - Y238 - IF(J238="Yes", 150000, 0)))</f>
      </c>
      <c r="AA238" s="8">
        <f>IF(E238="","",IF(OR(L238&gt;0, E238&lt;&gt;""), 2400, 0))</f>
      </c>
      <c r="AB238" s="7"/>
      <c r="AC238" s="8">
        <f>IF(E238="","",MAX(0, MAX(0, Z238*0.1) + MAX(0, (Z238-24000)*0.15) + MAX(0, (Z238-32333)*0.05) + MAX(0, (Z238-500000)*0.025) + MAX(0, (Z238-800000)*0.025) - AA238 - AB238))</f>
      </c>
      <c r="AD238" s="8">
        <f>IF(E238="","",AC238)</f>
      </c>
    </row>
    <row r="239" spans="1:30" x14ac:dyDescent="0.25">
      <c r="A239" s="6"/>
      <c r="B239" s="6"/>
      <c r="C239" s="6"/>
      <c r="F239" s="6"/>
      <c r="G239" s="6"/>
      <c r="L239" s="7"/>
      <c r="M239" s="7"/>
      <c r="N239" s="7"/>
      <c r="O239" s="7"/>
      <c r="P239" s="7"/>
      <c r="Q239" s="7"/>
      <c r="R239" s="7"/>
      <c r="S239" s="8">
        <f>IF(E239="","",SUM(L239:O239) + Q239 + R239)</f>
      </c>
      <c r="T239" s="8">
        <f>IF(E239="","",S239*0.0275)</f>
      </c>
      <c r="U239" s="8">
        <f>IF(E239="","",IF(S239&gt;0, MIN(S239*0.06, 6480), 0))</f>
      </c>
      <c r="V239" s="7"/>
      <c r="W239" s="7"/>
      <c r="X239" s="7"/>
      <c r="Y239" s="8">
        <f>IF(E239="","",S239*0.015)</f>
      </c>
      <c r="Z239" s="8">
        <f>IF(E239="","",MAX(0, S239 - T239 - U239 - V239 - W239 - X239 - Y239 - IF(J239="Yes", 150000, 0)))</f>
      </c>
      <c r="AA239" s="8">
        <f>IF(E239="","",IF(OR(L239&gt;0, E239&lt;&gt;""), 2400, 0))</f>
      </c>
      <c r="AB239" s="7"/>
      <c r="AC239" s="8">
        <f>IF(E239="","",MAX(0, MAX(0, Z239*0.1) + MAX(0, (Z239-24000)*0.15) + MAX(0, (Z239-32333)*0.05) + MAX(0, (Z239-500000)*0.025) + MAX(0, (Z239-800000)*0.025) - AA239 - AB239))</f>
      </c>
      <c r="AD239" s="8">
        <f>IF(E239="","",AC239)</f>
      </c>
    </row>
    <row r="240" spans="1:30" x14ac:dyDescent="0.25">
      <c r="A240" s="6"/>
      <c r="B240" s="6"/>
      <c r="C240" s="6"/>
      <c r="F240" s="6"/>
      <c r="G240" s="6"/>
      <c r="L240" s="7"/>
      <c r="M240" s="7"/>
      <c r="N240" s="7"/>
      <c r="O240" s="7"/>
      <c r="P240" s="7"/>
      <c r="Q240" s="7"/>
      <c r="R240" s="7"/>
      <c r="S240" s="8">
        <f>IF(E240="","",SUM(L240:O240) + Q240 + R240)</f>
      </c>
      <c r="T240" s="8">
        <f>IF(E240="","",S240*0.0275)</f>
      </c>
      <c r="U240" s="8">
        <f>IF(E240="","",IF(S240&gt;0, MIN(S240*0.06, 6480), 0))</f>
      </c>
      <c r="V240" s="7"/>
      <c r="W240" s="7"/>
      <c r="X240" s="7"/>
      <c r="Y240" s="8">
        <f>IF(E240="","",S240*0.015)</f>
      </c>
      <c r="Z240" s="8">
        <f>IF(E240="","",MAX(0, S240 - T240 - U240 - V240 - W240 - X240 - Y240 - IF(J240="Yes", 150000, 0)))</f>
      </c>
      <c r="AA240" s="8">
        <f>IF(E240="","",IF(OR(L240&gt;0, E240&lt;&gt;""), 2400, 0))</f>
      </c>
      <c r="AB240" s="7"/>
      <c r="AC240" s="8">
        <f>IF(E240="","",MAX(0, MAX(0, Z240*0.1) + MAX(0, (Z240-24000)*0.15) + MAX(0, (Z240-32333)*0.05) + MAX(0, (Z240-500000)*0.025) + MAX(0, (Z240-800000)*0.025) - AA240 - AB240))</f>
      </c>
      <c r="AD240" s="8">
        <f>IF(E240="","",AC240)</f>
      </c>
    </row>
    <row r="241" spans="1:30" x14ac:dyDescent="0.25">
      <c r="A241" s="6"/>
      <c r="B241" s="6"/>
      <c r="C241" s="6"/>
      <c r="F241" s="6"/>
      <c r="G241" s="6"/>
      <c r="L241" s="7"/>
      <c r="M241" s="7"/>
      <c r="N241" s="7"/>
      <c r="O241" s="7"/>
      <c r="P241" s="7"/>
      <c r="Q241" s="7"/>
      <c r="R241" s="7"/>
      <c r="S241" s="8">
        <f>IF(E241="","",SUM(L241:O241) + Q241 + R241)</f>
      </c>
      <c r="T241" s="8">
        <f>IF(E241="","",S241*0.0275)</f>
      </c>
      <c r="U241" s="8">
        <f>IF(E241="","",IF(S241&gt;0, MIN(S241*0.06, 6480), 0))</f>
      </c>
      <c r="V241" s="7"/>
      <c r="W241" s="7"/>
      <c r="X241" s="7"/>
      <c r="Y241" s="8">
        <f>IF(E241="","",S241*0.015)</f>
      </c>
      <c r="Z241" s="8">
        <f>IF(E241="","",MAX(0, S241 - T241 - U241 - V241 - W241 - X241 - Y241 - IF(J241="Yes", 150000, 0)))</f>
      </c>
      <c r="AA241" s="8">
        <f>IF(E241="","",IF(OR(L241&gt;0, E241&lt;&gt;""), 2400, 0))</f>
      </c>
      <c r="AB241" s="7"/>
      <c r="AC241" s="8">
        <f>IF(E241="","",MAX(0, MAX(0, Z241*0.1) + MAX(0, (Z241-24000)*0.15) + MAX(0, (Z241-32333)*0.05) + MAX(0, (Z241-500000)*0.025) + MAX(0, (Z241-800000)*0.025) - AA241 - AB241))</f>
      </c>
      <c r="AD241" s="8">
        <f>IF(E241="","",AC241)</f>
      </c>
    </row>
    <row r="242" spans="1:30" x14ac:dyDescent="0.25">
      <c r="A242" s="6"/>
      <c r="B242" s="6"/>
      <c r="C242" s="6"/>
      <c r="F242" s="6"/>
      <c r="G242" s="6"/>
      <c r="L242" s="7"/>
      <c r="M242" s="7"/>
      <c r="N242" s="7"/>
      <c r="O242" s="7"/>
      <c r="P242" s="7"/>
      <c r="Q242" s="7"/>
      <c r="R242" s="7"/>
      <c r="S242" s="8">
        <f>IF(E242="","",SUM(L242:O242) + Q242 + R242)</f>
      </c>
      <c r="T242" s="8">
        <f>IF(E242="","",S242*0.0275)</f>
      </c>
      <c r="U242" s="8">
        <f>IF(E242="","",IF(S242&gt;0, MIN(S242*0.06, 6480), 0))</f>
      </c>
      <c r="V242" s="7"/>
      <c r="W242" s="7"/>
      <c r="X242" s="7"/>
      <c r="Y242" s="8">
        <f>IF(E242="","",S242*0.015)</f>
      </c>
      <c r="Z242" s="8">
        <f>IF(E242="","",MAX(0, S242 - T242 - U242 - V242 - W242 - X242 - Y242 - IF(J242="Yes", 150000, 0)))</f>
      </c>
      <c r="AA242" s="8">
        <f>IF(E242="","",IF(OR(L242&gt;0, E242&lt;&gt;""), 2400, 0))</f>
      </c>
      <c r="AB242" s="7"/>
      <c r="AC242" s="8">
        <f>IF(E242="","",MAX(0, MAX(0, Z242*0.1) + MAX(0, (Z242-24000)*0.15) + MAX(0, (Z242-32333)*0.05) + MAX(0, (Z242-500000)*0.025) + MAX(0, (Z242-800000)*0.025) - AA242 - AB242))</f>
      </c>
      <c r="AD242" s="8">
        <f>IF(E242="","",AC242)</f>
      </c>
    </row>
    <row r="243" spans="1:30" x14ac:dyDescent="0.25">
      <c r="A243" s="6"/>
      <c r="B243" s="6"/>
      <c r="C243" s="6"/>
      <c r="F243" s="6"/>
      <c r="G243" s="6"/>
      <c r="L243" s="7"/>
      <c r="M243" s="7"/>
      <c r="N243" s="7"/>
      <c r="O243" s="7"/>
      <c r="P243" s="7"/>
      <c r="Q243" s="7"/>
      <c r="R243" s="7"/>
      <c r="S243" s="8">
        <f>IF(E243="","",SUM(L243:O243) + Q243 + R243)</f>
      </c>
      <c r="T243" s="8">
        <f>IF(E243="","",S243*0.0275)</f>
      </c>
      <c r="U243" s="8">
        <f>IF(E243="","",IF(S243&gt;0, MIN(S243*0.06, 6480), 0))</f>
      </c>
      <c r="V243" s="7"/>
      <c r="W243" s="7"/>
      <c r="X243" s="7"/>
      <c r="Y243" s="8">
        <f>IF(E243="","",S243*0.015)</f>
      </c>
      <c r="Z243" s="8">
        <f>IF(E243="","",MAX(0, S243 - T243 - U243 - V243 - W243 - X243 - Y243 - IF(J243="Yes", 150000, 0)))</f>
      </c>
      <c r="AA243" s="8">
        <f>IF(E243="","",IF(OR(L243&gt;0, E243&lt;&gt;""), 2400, 0))</f>
      </c>
      <c r="AB243" s="7"/>
      <c r="AC243" s="8">
        <f>IF(E243="","",MAX(0, MAX(0, Z243*0.1) + MAX(0, (Z243-24000)*0.15) + MAX(0, (Z243-32333)*0.05) + MAX(0, (Z243-500000)*0.025) + MAX(0, (Z243-800000)*0.025) - AA243 - AB243))</f>
      </c>
      <c r="AD243" s="8">
        <f>IF(E243="","",AC243)</f>
      </c>
    </row>
    <row r="244" spans="1:30" x14ac:dyDescent="0.25">
      <c r="A244" s="6"/>
      <c r="B244" s="6"/>
      <c r="C244" s="6"/>
      <c r="F244" s="6"/>
      <c r="G244" s="6"/>
      <c r="L244" s="7"/>
      <c r="M244" s="7"/>
      <c r="N244" s="7"/>
      <c r="O244" s="7"/>
      <c r="P244" s="7"/>
      <c r="Q244" s="7"/>
      <c r="R244" s="7"/>
      <c r="S244" s="8">
        <f>IF(E244="","",SUM(L244:O244) + Q244 + R244)</f>
      </c>
      <c r="T244" s="8">
        <f>IF(E244="","",S244*0.0275)</f>
      </c>
      <c r="U244" s="8">
        <f>IF(E244="","",IF(S244&gt;0, MIN(S244*0.06, 6480), 0))</f>
      </c>
      <c r="V244" s="7"/>
      <c r="W244" s="7"/>
      <c r="X244" s="7"/>
      <c r="Y244" s="8">
        <f>IF(E244="","",S244*0.015)</f>
      </c>
      <c r="Z244" s="8">
        <f>IF(E244="","",MAX(0, S244 - T244 - U244 - V244 - W244 - X244 - Y244 - IF(J244="Yes", 150000, 0)))</f>
      </c>
      <c r="AA244" s="8">
        <f>IF(E244="","",IF(OR(L244&gt;0, E244&lt;&gt;""), 2400, 0))</f>
      </c>
      <c r="AB244" s="7"/>
      <c r="AC244" s="8">
        <f>IF(E244="","",MAX(0, MAX(0, Z244*0.1) + MAX(0, (Z244-24000)*0.15) + MAX(0, (Z244-32333)*0.05) + MAX(0, (Z244-500000)*0.025) + MAX(0, (Z244-800000)*0.025) - AA244 - AB244))</f>
      </c>
      <c r="AD244" s="8">
        <f>IF(E244="","",AC244)</f>
      </c>
    </row>
    <row r="245" spans="1:30" x14ac:dyDescent="0.25">
      <c r="A245" s="6"/>
      <c r="B245" s="6"/>
      <c r="C245" s="6"/>
      <c r="F245" s="6"/>
      <c r="G245" s="6"/>
      <c r="L245" s="7"/>
      <c r="M245" s="7"/>
      <c r="N245" s="7"/>
      <c r="O245" s="7"/>
      <c r="P245" s="7"/>
      <c r="Q245" s="7"/>
      <c r="R245" s="7"/>
      <c r="S245" s="8">
        <f>IF(E245="","",SUM(L245:O245) + Q245 + R245)</f>
      </c>
      <c r="T245" s="8">
        <f>IF(E245="","",S245*0.0275)</f>
      </c>
      <c r="U245" s="8">
        <f>IF(E245="","",IF(S245&gt;0, MIN(S245*0.06, 6480), 0))</f>
      </c>
      <c r="V245" s="7"/>
      <c r="W245" s="7"/>
      <c r="X245" s="7"/>
      <c r="Y245" s="8">
        <f>IF(E245="","",S245*0.015)</f>
      </c>
      <c r="Z245" s="8">
        <f>IF(E245="","",MAX(0, S245 - T245 - U245 - V245 - W245 - X245 - Y245 - IF(J245="Yes", 150000, 0)))</f>
      </c>
      <c r="AA245" s="8">
        <f>IF(E245="","",IF(OR(L245&gt;0, E245&lt;&gt;""), 2400, 0))</f>
      </c>
      <c r="AB245" s="7"/>
      <c r="AC245" s="8">
        <f>IF(E245="","",MAX(0, MAX(0, Z245*0.1) + MAX(0, (Z245-24000)*0.15) + MAX(0, (Z245-32333)*0.05) + MAX(0, (Z245-500000)*0.025) + MAX(0, (Z245-800000)*0.025) - AA245 - AB245))</f>
      </c>
      <c r="AD245" s="8">
        <f>IF(E245="","",AC245)</f>
      </c>
    </row>
    <row r="246" spans="1:30" x14ac:dyDescent="0.25">
      <c r="A246" s="6"/>
      <c r="B246" s="6"/>
      <c r="C246" s="6"/>
      <c r="F246" s="6"/>
      <c r="G246" s="6"/>
      <c r="L246" s="7"/>
      <c r="M246" s="7"/>
      <c r="N246" s="7"/>
      <c r="O246" s="7"/>
      <c r="P246" s="7"/>
      <c r="Q246" s="7"/>
      <c r="R246" s="7"/>
      <c r="S246" s="8">
        <f>IF(E246="","",SUM(L246:O246) + Q246 + R246)</f>
      </c>
      <c r="T246" s="8">
        <f>IF(E246="","",S246*0.0275)</f>
      </c>
      <c r="U246" s="8">
        <f>IF(E246="","",IF(S246&gt;0, MIN(S246*0.06, 6480), 0))</f>
      </c>
      <c r="V246" s="7"/>
      <c r="W246" s="7"/>
      <c r="X246" s="7"/>
      <c r="Y246" s="8">
        <f>IF(E246="","",S246*0.015)</f>
      </c>
      <c r="Z246" s="8">
        <f>IF(E246="","",MAX(0, S246 - T246 - U246 - V246 - W246 - X246 - Y246 - IF(J246="Yes", 150000, 0)))</f>
      </c>
      <c r="AA246" s="8">
        <f>IF(E246="","",IF(OR(L246&gt;0, E246&lt;&gt;""), 2400, 0))</f>
      </c>
      <c r="AB246" s="7"/>
      <c r="AC246" s="8">
        <f>IF(E246="","",MAX(0, MAX(0, Z246*0.1) + MAX(0, (Z246-24000)*0.15) + MAX(0, (Z246-32333)*0.05) + MAX(0, (Z246-500000)*0.025) + MAX(0, (Z246-800000)*0.025) - AA246 - AB246))</f>
      </c>
      <c r="AD246" s="8">
        <f>IF(E246="","",AC246)</f>
      </c>
    </row>
    <row r="247" spans="1:30" x14ac:dyDescent="0.25">
      <c r="A247" s="6"/>
      <c r="B247" s="6"/>
      <c r="C247" s="6"/>
      <c r="F247" s="6"/>
      <c r="G247" s="6"/>
      <c r="L247" s="7"/>
      <c r="M247" s="7"/>
      <c r="N247" s="7"/>
      <c r="O247" s="7"/>
      <c r="P247" s="7"/>
      <c r="Q247" s="7"/>
      <c r="R247" s="7"/>
      <c r="S247" s="8">
        <f>IF(E247="","",SUM(L247:O247) + Q247 + R247)</f>
      </c>
      <c r="T247" s="8">
        <f>IF(E247="","",S247*0.0275)</f>
      </c>
      <c r="U247" s="8">
        <f>IF(E247="","",IF(S247&gt;0, MIN(S247*0.06, 6480), 0))</f>
      </c>
      <c r="V247" s="7"/>
      <c r="W247" s="7"/>
      <c r="X247" s="7"/>
      <c r="Y247" s="8">
        <f>IF(E247="","",S247*0.015)</f>
      </c>
      <c r="Z247" s="8">
        <f>IF(E247="","",MAX(0, S247 - T247 - U247 - V247 - W247 - X247 - Y247 - IF(J247="Yes", 150000, 0)))</f>
      </c>
      <c r="AA247" s="8">
        <f>IF(E247="","",IF(OR(L247&gt;0, E247&lt;&gt;""), 2400, 0))</f>
      </c>
      <c r="AB247" s="7"/>
      <c r="AC247" s="8">
        <f>IF(E247="","",MAX(0, MAX(0, Z247*0.1) + MAX(0, (Z247-24000)*0.15) + MAX(0, (Z247-32333)*0.05) + MAX(0, (Z247-500000)*0.025) + MAX(0, (Z247-800000)*0.025) - AA247 - AB247))</f>
      </c>
      <c r="AD247" s="8">
        <f>IF(E247="","",AC247)</f>
      </c>
    </row>
    <row r="248" spans="1:30" x14ac:dyDescent="0.25">
      <c r="A248" s="6"/>
      <c r="B248" s="6"/>
      <c r="C248" s="6"/>
      <c r="F248" s="6"/>
      <c r="G248" s="6"/>
      <c r="L248" s="7"/>
      <c r="M248" s="7"/>
      <c r="N248" s="7"/>
      <c r="O248" s="7"/>
      <c r="P248" s="7"/>
      <c r="Q248" s="7"/>
      <c r="R248" s="7"/>
      <c r="S248" s="8">
        <f>IF(E248="","",SUM(L248:O248) + Q248 + R248)</f>
      </c>
      <c r="T248" s="8">
        <f>IF(E248="","",S248*0.0275)</f>
      </c>
      <c r="U248" s="8">
        <f>IF(E248="","",IF(S248&gt;0, MIN(S248*0.06, 6480), 0))</f>
      </c>
      <c r="V248" s="7"/>
      <c r="W248" s="7"/>
      <c r="X248" s="7"/>
      <c r="Y248" s="8">
        <f>IF(E248="","",S248*0.015)</f>
      </c>
      <c r="Z248" s="8">
        <f>IF(E248="","",MAX(0, S248 - T248 - U248 - V248 - W248 - X248 - Y248 - IF(J248="Yes", 150000, 0)))</f>
      </c>
      <c r="AA248" s="8">
        <f>IF(E248="","",IF(OR(L248&gt;0, E248&lt;&gt;""), 2400, 0))</f>
      </c>
      <c r="AB248" s="7"/>
      <c r="AC248" s="8">
        <f>IF(E248="","",MAX(0, MAX(0, Z248*0.1) + MAX(0, (Z248-24000)*0.15) + MAX(0, (Z248-32333)*0.05) + MAX(0, (Z248-500000)*0.025) + MAX(0, (Z248-800000)*0.025) - AA248 - AB248))</f>
      </c>
      <c r="AD248" s="8">
        <f>IF(E248="","",AC248)</f>
      </c>
    </row>
    <row r="249" spans="1:30" x14ac:dyDescent="0.25">
      <c r="A249" s="6"/>
      <c r="B249" s="6"/>
      <c r="C249" s="6"/>
      <c r="F249" s="6"/>
      <c r="G249" s="6"/>
      <c r="L249" s="7"/>
      <c r="M249" s="7"/>
      <c r="N249" s="7"/>
      <c r="O249" s="7"/>
      <c r="P249" s="7"/>
      <c r="Q249" s="7"/>
      <c r="R249" s="7"/>
      <c r="S249" s="8">
        <f>IF(E249="","",SUM(L249:O249) + Q249 + R249)</f>
      </c>
      <c r="T249" s="8">
        <f>IF(E249="","",S249*0.0275)</f>
      </c>
      <c r="U249" s="8">
        <f>IF(E249="","",IF(S249&gt;0, MIN(S249*0.06, 6480), 0))</f>
      </c>
      <c r="V249" s="7"/>
      <c r="W249" s="7"/>
      <c r="X249" s="7"/>
      <c r="Y249" s="8">
        <f>IF(E249="","",S249*0.015)</f>
      </c>
      <c r="Z249" s="8">
        <f>IF(E249="","",MAX(0, S249 - T249 - U249 - V249 - W249 - X249 - Y249 - IF(J249="Yes", 150000, 0)))</f>
      </c>
      <c r="AA249" s="8">
        <f>IF(E249="","",IF(OR(L249&gt;0, E249&lt;&gt;""), 2400, 0))</f>
      </c>
      <c r="AB249" s="7"/>
      <c r="AC249" s="8">
        <f>IF(E249="","",MAX(0, MAX(0, Z249*0.1) + MAX(0, (Z249-24000)*0.15) + MAX(0, (Z249-32333)*0.05) + MAX(0, (Z249-500000)*0.025) + MAX(0, (Z249-800000)*0.025) - AA249 - AB249))</f>
      </c>
      <c r="AD249" s="8">
        <f>IF(E249="","",AC249)</f>
      </c>
    </row>
    <row r="250" spans="1:30" x14ac:dyDescent="0.25">
      <c r="A250" s="6"/>
      <c r="B250" s="6"/>
      <c r="C250" s="6"/>
      <c r="F250" s="6"/>
      <c r="G250" s="6"/>
      <c r="L250" s="7"/>
      <c r="M250" s="7"/>
      <c r="N250" s="7"/>
      <c r="O250" s="7"/>
      <c r="P250" s="7"/>
      <c r="Q250" s="7"/>
      <c r="R250" s="7"/>
      <c r="S250" s="8">
        <f>IF(E250="","",SUM(L250:O250) + Q250 + R250)</f>
      </c>
      <c r="T250" s="8">
        <f>IF(E250="","",S250*0.0275)</f>
      </c>
      <c r="U250" s="8">
        <f>IF(E250="","",IF(S250&gt;0, MIN(S250*0.06, 6480), 0))</f>
      </c>
      <c r="V250" s="7"/>
      <c r="W250" s="7"/>
      <c r="X250" s="7"/>
      <c r="Y250" s="8">
        <f>IF(E250="","",S250*0.015)</f>
      </c>
      <c r="Z250" s="8">
        <f>IF(E250="","",MAX(0, S250 - T250 - U250 - V250 - W250 - X250 - Y250 - IF(J250="Yes", 150000, 0)))</f>
      </c>
      <c r="AA250" s="8">
        <f>IF(E250="","",IF(OR(L250&gt;0, E250&lt;&gt;""), 2400, 0))</f>
      </c>
      <c r="AB250" s="7"/>
      <c r="AC250" s="8">
        <f>IF(E250="","",MAX(0, MAX(0, Z250*0.1) + MAX(0, (Z250-24000)*0.15) + MAX(0, (Z250-32333)*0.05) + MAX(0, (Z250-500000)*0.025) + MAX(0, (Z250-800000)*0.025) - AA250 - AB250))</f>
      </c>
      <c r="AD250" s="8">
        <f>IF(E250="","",AC250)</f>
      </c>
    </row>
    <row r="251" spans="1:30" x14ac:dyDescent="0.25">
      <c r="A251" s="6"/>
      <c r="B251" s="6"/>
      <c r="C251" s="6"/>
      <c r="F251" s="6"/>
      <c r="G251" s="6"/>
      <c r="L251" s="7"/>
      <c r="M251" s="7"/>
      <c r="N251" s="7"/>
      <c r="O251" s="7"/>
      <c r="P251" s="7"/>
      <c r="Q251" s="7"/>
      <c r="R251" s="7"/>
      <c r="S251" s="8">
        <f>IF(E251="","",SUM(L251:O251) + Q251 + R251)</f>
      </c>
      <c r="T251" s="8">
        <f>IF(E251="","",S251*0.0275)</f>
      </c>
      <c r="U251" s="8">
        <f>IF(E251="","",IF(S251&gt;0, MIN(S251*0.06, 6480), 0))</f>
      </c>
      <c r="V251" s="7"/>
      <c r="W251" s="7"/>
      <c r="X251" s="7"/>
      <c r="Y251" s="8">
        <f>IF(E251="","",S251*0.015)</f>
      </c>
      <c r="Z251" s="8">
        <f>IF(E251="","",MAX(0, S251 - T251 - U251 - V251 - W251 - X251 - Y251 - IF(J251="Yes", 150000, 0)))</f>
      </c>
      <c r="AA251" s="8">
        <f>IF(E251="","",IF(OR(L251&gt;0, E251&lt;&gt;""), 2400, 0))</f>
      </c>
      <c r="AB251" s="7"/>
      <c r="AC251" s="8">
        <f>IF(E251="","",MAX(0, MAX(0, Z251*0.1) + MAX(0, (Z251-24000)*0.15) + MAX(0, (Z251-32333)*0.05) + MAX(0, (Z251-500000)*0.025) + MAX(0, (Z251-800000)*0.025) - AA251 - AB251))</f>
      </c>
      <c r="AD251" s="8">
        <f>IF(E251="","",AC251)</f>
      </c>
    </row>
    <row r="252" spans="1:30" x14ac:dyDescent="0.25">
      <c r="A252" s="6"/>
      <c r="B252" s="6"/>
      <c r="C252" s="6"/>
      <c r="F252" s="6"/>
      <c r="G252" s="6"/>
      <c r="L252" s="7"/>
      <c r="M252" s="7"/>
      <c r="N252" s="7"/>
      <c r="O252" s="7"/>
      <c r="P252" s="7"/>
      <c r="Q252" s="7"/>
      <c r="R252" s="7"/>
      <c r="S252" s="8">
        <f>IF(E252="","",SUM(L252:O252) + Q252 + R252)</f>
      </c>
      <c r="T252" s="8">
        <f>IF(E252="","",S252*0.0275)</f>
      </c>
      <c r="U252" s="8">
        <f>IF(E252="","",IF(S252&gt;0, MIN(S252*0.06, 6480), 0))</f>
      </c>
      <c r="V252" s="7"/>
      <c r="W252" s="7"/>
      <c r="X252" s="7"/>
      <c r="Y252" s="8">
        <f>IF(E252="","",S252*0.015)</f>
      </c>
      <c r="Z252" s="8">
        <f>IF(E252="","",MAX(0, S252 - T252 - U252 - V252 - W252 - X252 - Y252 - IF(J252="Yes", 150000, 0)))</f>
      </c>
      <c r="AA252" s="8">
        <f>IF(E252="","",IF(OR(L252&gt;0, E252&lt;&gt;""), 2400, 0))</f>
      </c>
      <c r="AB252" s="7"/>
      <c r="AC252" s="8">
        <f>IF(E252="","",MAX(0, MAX(0, Z252*0.1) + MAX(0, (Z252-24000)*0.15) + MAX(0, (Z252-32333)*0.05) + MAX(0, (Z252-500000)*0.025) + MAX(0, (Z252-800000)*0.025) - AA252 - AB252))</f>
      </c>
      <c r="AD252" s="8">
        <f>IF(E252="","",AC252)</f>
      </c>
    </row>
    <row r="253" spans="1:30" x14ac:dyDescent="0.25">
      <c r="A253" s="6"/>
      <c r="B253" s="6"/>
      <c r="C253" s="6"/>
      <c r="F253" s="6"/>
      <c r="G253" s="6"/>
      <c r="L253" s="7"/>
      <c r="M253" s="7"/>
      <c r="N253" s="7"/>
      <c r="O253" s="7"/>
      <c r="P253" s="7"/>
      <c r="Q253" s="7"/>
      <c r="R253" s="7"/>
      <c r="S253" s="8">
        <f>IF(E253="","",SUM(L253:O253) + Q253 + R253)</f>
      </c>
      <c r="T253" s="8">
        <f>IF(E253="","",S253*0.0275)</f>
      </c>
      <c r="U253" s="8">
        <f>IF(E253="","",IF(S253&gt;0, MIN(S253*0.06, 6480), 0))</f>
      </c>
      <c r="V253" s="7"/>
      <c r="W253" s="7"/>
      <c r="X253" s="7"/>
      <c r="Y253" s="8">
        <f>IF(E253="","",S253*0.015)</f>
      </c>
      <c r="Z253" s="8">
        <f>IF(E253="","",MAX(0, S253 - T253 - U253 - V253 - W253 - X253 - Y253 - IF(J253="Yes", 150000, 0)))</f>
      </c>
      <c r="AA253" s="8">
        <f>IF(E253="","",IF(OR(L253&gt;0, E253&lt;&gt;""), 2400, 0))</f>
      </c>
      <c r="AB253" s="7"/>
      <c r="AC253" s="8">
        <f>IF(E253="","",MAX(0, MAX(0, Z253*0.1) + MAX(0, (Z253-24000)*0.15) + MAX(0, (Z253-32333)*0.05) + MAX(0, (Z253-500000)*0.025) + MAX(0, (Z253-800000)*0.025) - AA253 - AB253))</f>
      </c>
      <c r="AD253" s="8">
        <f>IF(E253="","",AC253)</f>
      </c>
    </row>
    <row r="254" spans="1:30" x14ac:dyDescent="0.25">
      <c r="A254" s="6"/>
      <c r="B254" s="6"/>
      <c r="C254" s="6"/>
      <c r="F254" s="6"/>
      <c r="G254" s="6"/>
      <c r="L254" s="7"/>
      <c r="M254" s="7"/>
      <c r="N254" s="7"/>
      <c r="O254" s="7"/>
      <c r="P254" s="7"/>
      <c r="Q254" s="7"/>
      <c r="R254" s="7"/>
      <c r="S254" s="8">
        <f>IF(E254="","",SUM(L254:O254) + Q254 + R254)</f>
      </c>
      <c r="T254" s="8">
        <f>IF(E254="","",S254*0.0275)</f>
      </c>
      <c r="U254" s="8">
        <f>IF(E254="","",IF(S254&gt;0, MIN(S254*0.06, 6480), 0))</f>
      </c>
      <c r="V254" s="7"/>
      <c r="W254" s="7"/>
      <c r="X254" s="7"/>
      <c r="Y254" s="8">
        <f>IF(E254="","",S254*0.015)</f>
      </c>
      <c r="Z254" s="8">
        <f>IF(E254="","",MAX(0, S254 - T254 - U254 - V254 - W254 - X254 - Y254 - IF(J254="Yes", 150000, 0)))</f>
      </c>
      <c r="AA254" s="8">
        <f>IF(E254="","",IF(OR(L254&gt;0, E254&lt;&gt;""), 2400, 0))</f>
      </c>
      <c r="AB254" s="7"/>
      <c r="AC254" s="8">
        <f>IF(E254="","",MAX(0, MAX(0, Z254*0.1) + MAX(0, (Z254-24000)*0.15) + MAX(0, (Z254-32333)*0.05) + MAX(0, (Z254-500000)*0.025) + MAX(0, (Z254-800000)*0.025) - AA254 - AB254))</f>
      </c>
      <c r="AD254" s="8">
        <f>IF(E254="","",AC254)</f>
      </c>
    </row>
    <row r="255" spans="1:30" x14ac:dyDescent="0.25">
      <c r="A255" s="6"/>
      <c r="B255" s="6"/>
      <c r="C255" s="6"/>
      <c r="F255" s="6"/>
      <c r="G255" s="6"/>
      <c r="L255" s="7"/>
      <c r="M255" s="7"/>
      <c r="N255" s="7"/>
      <c r="O255" s="7"/>
      <c r="P255" s="7"/>
      <c r="Q255" s="7"/>
      <c r="R255" s="7"/>
      <c r="S255" s="8">
        <f>IF(E255="","",SUM(L255:O255) + Q255 + R255)</f>
      </c>
      <c r="T255" s="8">
        <f>IF(E255="","",S255*0.0275)</f>
      </c>
      <c r="U255" s="8">
        <f>IF(E255="","",IF(S255&gt;0, MIN(S255*0.06, 6480), 0))</f>
      </c>
      <c r="V255" s="7"/>
      <c r="W255" s="7"/>
      <c r="X255" s="7"/>
      <c r="Y255" s="8">
        <f>IF(E255="","",S255*0.015)</f>
      </c>
      <c r="Z255" s="8">
        <f>IF(E255="","",MAX(0, S255 - T255 - U255 - V255 - W255 - X255 - Y255 - IF(J255="Yes", 150000, 0)))</f>
      </c>
      <c r="AA255" s="8">
        <f>IF(E255="","",IF(OR(L255&gt;0, E255&lt;&gt;""), 2400, 0))</f>
      </c>
      <c r="AB255" s="7"/>
      <c r="AC255" s="8">
        <f>IF(E255="","",MAX(0, MAX(0, Z255*0.1) + MAX(0, (Z255-24000)*0.15) + MAX(0, (Z255-32333)*0.05) + MAX(0, (Z255-500000)*0.025) + MAX(0, (Z255-800000)*0.025) - AA255 - AB255))</f>
      </c>
      <c r="AD255" s="8">
        <f>IF(E255="","",AC255)</f>
      </c>
    </row>
    <row r="256" spans="1:30" x14ac:dyDescent="0.25">
      <c r="A256" s="6"/>
      <c r="B256" s="6"/>
      <c r="C256" s="6"/>
      <c r="F256" s="6"/>
      <c r="G256" s="6"/>
      <c r="L256" s="7"/>
      <c r="M256" s="7"/>
      <c r="N256" s="7"/>
      <c r="O256" s="7"/>
      <c r="P256" s="7"/>
      <c r="Q256" s="7"/>
      <c r="R256" s="7"/>
      <c r="S256" s="8">
        <f>IF(E256="","",SUM(L256:O256) + Q256 + R256)</f>
      </c>
      <c r="T256" s="8">
        <f>IF(E256="","",S256*0.0275)</f>
      </c>
      <c r="U256" s="8">
        <f>IF(E256="","",IF(S256&gt;0, MIN(S256*0.06, 6480), 0))</f>
      </c>
      <c r="V256" s="7"/>
      <c r="W256" s="7"/>
      <c r="X256" s="7"/>
      <c r="Y256" s="8">
        <f>IF(E256="","",S256*0.015)</f>
      </c>
      <c r="Z256" s="8">
        <f>IF(E256="","",MAX(0, S256 - T256 - U256 - V256 - W256 - X256 - Y256 - IF(J256="Yes", 150000, 0)))</f>
      </c>
      <c r="AA256" s="8">
        <f>IF(E256="","",IF(OR(L256&gt;0, E256&lt;&gt;""), 2400, 0))</f>
      </c>
      <c r="AB256" s="7"/>
      <c r="AC256" s="8">
        <f>IF(E256="","",MAX(0, MAX(0, Z256*0.1) + MAX(0, (Z256-24000)*0.15) + MAX(0, (Z256-32333)*0.05) + MAX(0, (Z256-500000)*0.025) + MAX(0, (Z256-800000)*0.025) - AA256 - AB256))</f>
      </c>
      <c r="AD256" s="8">
        <f>IF(E256="","",AC256)</f>
      </c>
    </row>
    <row r="257" spans="1:30" x14ac:dyDescent="0.25">
      <c r="A257" s="6"/>
      <c r="B257" s="6"/>
      <c r="C257" s="6"/>
      <c r="F257" s="6"/>
      <c r="G257" s="6"/>
      <c r="L257" s="7"/>
      <c r="M257" s="7"/>
      <c r="N257" s="7"/>
      <c r="O257" s="7"/>
      <c r="P257" s="7"/>
      <c r="Q257" s="7"/>
      <c r="R257" s="7"/>
      <c r="S257" s="8">
        <f>IF(E257="","",SUM(L257:O257) + Q257 + R257)</f>
      </c>
      <c r="T257" s="8">
        <f>IF(E257="","",S257*0.0275)</f>
      </c>
      <c r="U257" s="8">
        <f>IF(E257="","",IF(S257&gt;0, MIN(S257*0.06, 6480), 0))</f>
      </c>
      <c r="V257" s="7"/>
      <c r="W257" s="7"/>
      <c r="X257" s="7"/>
      <c r="Y257" s="8">
        <f>IF(E257="","",S257*0.015)</f>
      </c>
      <c r="Z257" s="8">
        <f>IF(E257="","",MAX(0, S257 - T257 - U257 - V257 - W257 - X257 - Y257 - IF(J257="Yes", 150000, 0)))</f>
      </c>
      <c r="AA257" s="8">
        <f>IF(E257="","",IF(OR(L257&gt;0, E257&lt;&gt;""), 2400, 0))</f>
      </c>
      <c r="AB257" s="7"/>
      <c r="AC257" s="8">
        <f>IF(E257="","",MAX(0, MAX(0, Z257*0.1) + MAX(0, (Z257-24000)*0.15) + MAX(0, (Z257-32333)*0.05) + MAX(0, (Z257-500000)*0.025) + MAX(0, (Z257-800000)*0.025) - AA257 - AB257))</f>
      </c>
      <c r="AD257" s="8">
        <f>IF(E257="","",AC257)</f>
      </c>
    </row>
    <row r="258" spans="1:30" x14ac:dyDescent="0.25">
      <c r="A258" s="6"/>
      <c r="B258" s="6"/>
      <c r="C258" s="6"/>
      <c r="F258" s="6"/>
      <c r="G258" s="6"/>
      <c r="L258" s="7"/>
      <c r="M258" s="7"/>
      <c r="N258" s="7"/>
      <c r="O258" s="7"/>
      <c r="P258" s="7"/>
      <c r="Q258" s="7"/>
      <c r="R258" s="7"/>
      <c r="S258" s="8">
        <f>IF(E258="","",SUM(L258:O258) + Q258 + R258)</f>
      </c>
      <c r="T258" s="8">
        <f>IF(E258="","",S258*0.0275)</f>
      </c>
      <c r="U258" s="8">
        <f>IF(E258="","",IF(S258&gt;0, MIN(S258*0.06, 6480), 0))</f>
      </c>
      <c r="V258" s="7"/>
      <c r="W258" s="7"/>
      <c r="X258" s="7"/>
      <c r="Y258" s="8">
        <f>IF(E258="","",S258*0.015)</f>
      </c>
      <c r="Z258" s="8">
        <f>IF(E258="","",MAX(0, S258 - T258 - U258 - V258 - W258 - X258 - Y258 - IF(J258="Yes", 150000, 0)))</f>
      </c>
      <c r="AA258" s="8">
        <f>IF(E258="","",IF(OR(L258&gt;0, E258&lt;&gt;""), 2400, 0))</f>
      </c>
      <c r="AB258" s="7"/>
      <c r="AC258" s="8">
        <f>IF(E258="","",MAX(0, MAX(0, Z258*0.1) + MAX(0, (Z258-24000)*0.15) + MAX(0, (Z258-32333)*0.05) + MAX(0, (Z258-500000)*0.025) + MAX(0, (Z258-800000)*0.025) - AA258 - AB258))</f>
      </c>
      <c r="AD258" s="8">
        <f>IF(E258="","",AC258)</f>
      </c>
    </row>
    <row r="259" spans="1:30" x14ac:dyDescent="0.25">
      <c r="A259" s="6"/>
      <c r="B259" s="6"/>
      <c r="C259" s="6"/>
      <c r="F259" s="6"/>
      <c r="G259" s="6"/>
      <c r="L259" s="7"/>
      <c r="M259" s="7"/>
      <c r="N259" s="7"/>
      <c r="O259" s="7"/>
      <c r="P259" s="7"/>
      <c r="Q259" s="7"/>
      <c r="R259" s="7"/>
      <c r="S259" s="8">
        <f>IF(E259="","",SUM(L259:O259) + Q259 + R259)</f>
      </c>
      <c r="T259" s="8">
        <f>IF(E259="","",S259*0.0275)</f>
      </c>
      <c r="U259" s="8">
        <f>IF(E259="","",IF(S259&gt;0, MIN(S259*0.06, 6480), 0))</f>
      </c>
      <c r="V259" s="7"/>
      <c r="W259" s="7"/>
      <c r="X259" s="7"/>
      <c r="Y259" s="8">
        <f>IF(E259="","",S259*0.015)</f>
      </c>
      <c r="Z259" s="8">
        <f>IF(E259="","",MAX(0, S259 - T259 - U259 - V259 - W259 - X259 - Y259 - IF(J259="Yes", 150000, 0)))</f>
      </c>
      <c r="AA259" s="8">
        <f>IF(E259="","",IF(OR(L259&gt;0, E259&lt;&gt;""), 2400, 0))</f>
      </c>
      <c r="AB259" s="7"/>
      <c r="AC259" s="8">
        <f>IF(E259="","",MAX(0, MAX(0, Z259*0.1) + MAX(0, (Z259-24000)*0.15) + MAX(0, (Z259-32333)*0.05) + MAX(0, (Z259-500000)*0.025) + MAX(0, (Z259-800000)*0.025) - AA259 - AB259))</f>
      </c>
      <c r="AD259" s="8">
        <f>IF(E259="","",AC259)</f>
      </c>
    </row>
    <row r="260" spans="1:30" x14ac:dyDescent="0.25">
      <c r="A260" s="6"/>
      <c r="B260" s="6"/>
      <c r="C260" s="6"/>
      <c r="F260" s="6"/>
      <c r="G260" s="6"/>
      <c r="L260" s="7"/>
      <c r="M260" s="7"/>
      <c r="N260" s="7"/>
      <c r="O260" s="7"/>
      <c r="P260" s="7"/>
      <c r="Q260" s="7"/>
      <c r="R260" s="7"/>
      <c r="S260" s="8">
        <f>IF(E260="","",SUM(L260:O260) + Q260 + R260)</f>
      </c>
      <c r="T260" s="8">
        <f>IF(E260="","",S260*0.0275)</f>
      </c>
      <c r="U260" s="8">
        <f>IF(E260="","",IF(S260&gt;0, MIN(S260*0.06, 6480), 0))</f>
      </c>
      <c r="V260" s="7"/>
      <c r="W260" s="7"/>
      <c r="X260" s="7"/>
      <c r="Y260" s="8">
        <f>IF(E260="","",S260*0.015)</f>
      </c>
      <c r="Z260" s="8">
        <f>IF(E260="","",MAX(0, S260 - T260 - U260 - V260 - W260 - X260 - Y260 - IF(J260="Yes", 150000, 0)))</f>
      </c>
      <c r="AA260" s="8">
        <f>IF(E260="","",IF(OR(L260&gt;0, E260&lt;&gt;""), 2400, 0))</f>
      </c>
      <c r="AB260" s="7"/>
      <c r="AC260" s="8">
        <f>IF(E260="","",MAX(0, MAX(0, Z260*0.1) + MAX(0, (Z260-24000)*0.15) + MAX(0, (Z260-32333)*0.05) + MAX(0, (Z260-500000)*0.025) + MAX(0, (Z260-800000)*0.025) - AA260 - AB260))</f>
      </c>
      <c r="AD260" s="8">
        <f>IF(E260="","",AC260)</f>
      </c>
    </row>
    <row r="261" spans="1:30" x14ac:dyDescent="0.25">
      <c r="A261" s="6"/>
      <c r="B261" s="6"/>
      <c r="C261" s="6"/>
      <c r="F261" s="6"/>
      <c r="G261" s="6"/>
      <c r="L261" s="7"/>
      <c r="M261" s="7"/>
      <c r="N261" s="7"/>
      <c r="O261" s="7"/>
      <c r="P261" s="7"/>
      <c r="Q261" s="7"/>
      <c r="R261" s="7"/>
      <c r="S261" s="8">
        <f>IF(E261="","",SUM(L261:O261) + Q261 + R261)</f>
      </c>
      <c r="T261" s="8">
        <f>IF(E261="","",S261*0.0275)</f>
      </c>
      <c r="U261" s="8">
        <f>IF(E261="","",IF(S261&gt;0, MIN(S261*0.06, 6480), 0))</f>
      </c>
      <c r="V261" s="7"/>
      <c r="W261" s="7"/>
      <c r="X261" s="7"/>
      <c r="Y261" s="8">
        <f>IF(E261="","",S261*0.015)</f>
      </c>
      <c r="Z261" s="8">
        <f>IF(E261="","",MAX(0, S261 - T261 - U261 - V261 - W261 - X261 - Y261 - IF(J261="Yes", 150000, 0)))</f>
      </c>
      <c r="AA261" s="8">
        <f>IF(E261="","",IF(OR(L261&gt;0, E261&lt;&gt;""), 2400, 0))</f>
      </c>
      <c r="AB261" s="7"/>
      <c r="AC261" s="8">
        <f>IF(E261="","",MAX(0, MAX(0, Z261*0.1) + MAX(0, (Z261-24000)*0.15) + MAX(0, (Z261-32333)*0.05) + MAX(0, (Z261-500000)*0.025) + MAX(0, (Z261-800000)*0.025) - AA261 - AB261))</f>
      </c>
      <c r="AD261" s="8">
        <f>IF(E261="","",AC261)</f>
      </c>
    </row>
    <row r="262" spans="1:30" x14ac:dyDescent="0.25">
      <c r="A262" s="6"/>
      <c r="B262" s="6"/>
      <c r="C262" s="6"/>
      <c r="F262" s="6"/>
      <c r="G262" s="6"/>
      <c r="L262" s="7"/>
      <c r="M262" s="7"/>
      <c r="N262" s="7"/>
      <c r="O262" s="7"/>
      <c r="P262" s="7"/>
      <c r="Q262" s="7"/>
      <c r="R262" s="7"/>
      <c r="S262" s="8">
        <f>IF(E262="","",SUM(L262:O262) + Q262 + R262)</f>
      </c>
      <c r="T262" s="8">
        <f>IF(E262="","",S262*0.0275)</f>
      </c>
      <c r="U262" s="8">
        <f>IF(E262="","",IF(S262&gt;0, MIN(S262*0.06, 6480), 0))</f>
      </c>
      <c r="V262" s="7"/>
      <c r="W262" s="7"/>
      <c r="X262" s="7"/>
      <c r="Y262" s="8">
        <f>IF(E262="","",S262*0.015)</f>
      </c>
      <c r="Z262" s="8">
        <f>IF(E262="","",MAX(0, S262 - T262 - U262 - V262 - W262 - X262 - Y262 - IF(J262="Yes", 150000, 0)))</f>
      </c>
      <c r="AA262" s="8">
        <f>IF(E262="","",IF(OR(L262&gt;0, E262&lt;&gt;""), 2400, 0))</f>
      </c>
      <c r="AB262" s="7"/>
      <c r="AC262" s="8">
        <f>IF(E262="","",MAX(0, MAX(0, Z262*0.1) + MAX(0, (Z262-24000)*0.15) + MAX(0, (Z262-32333)*0.05) + MAX(0, (Z262-500000)*0.025) + MAX(0, (Z262-800000)*0.025) - AA262 - AB262))</f>
      </c>
      <c r="AD262" s="8">
        <f>IF(E262="","",AC262)</f>
      </c>
    </row>
    <row r="263" spans="1:30" x14ac:dyDescent="0.25">
      <c r="A263" s="6"/>
      <c r="B263" s="6"/>
      <c r="C263" s="6"/>
      <c r="F263" s="6"/>
      <c r="G263" s="6"/>
      <c r="L263" s="7"/>
      <c r="M263" s="7"/>
      <c r="N263" s="7"/>
      <c r="O263" s="7"/>
      <c r="P263" s="7"/>
      <c r="Q263" s="7"/>
      <c r="R263" s="7"/>
      <c r="S263" s="8">
        <f>IF(E263="","",SUM(L263:O263) + Q263 + R263)</f>
      </c>
      <c r="T263" s="8">
        <f>IF(E263="","",S263*0.0275)</f>
      </c>
      <c r="U263" s="8">
        <f>IF(E263="","",IF(S263&gt;0, MIN(S263*0.06, 6480), 0))</f>
      </c>
      <c r="V263" s="7"/>
      <c r="W263" s="7"/>
      <c r="X263" s="7"/>
      <c r="Y263" s="8">
        <f>IF(E263="","",S263*0.015)</f>
      </c>
      <c r="Z263" s="8">
        <f>IF(E263="","",MAX(0, S263 - T263 - U263 - V263 - W263 - X263 - Y263 - IF(J263="Yes", 150000, 0)))</f>
      </c>
      <c r="AA263" s="8">
        <f>IF(E263="","",IF(OR(L263&gt;0, E263&lt;&gt;""), 2400, 0))</f>
      </c>
      <c r="AB263" s="7"/>
      <c r="AC263" s="8">
        <f>IF(E263="","",MAX(0, MAX(0, Z263*0.1) + MAX(0, (Z263-24000)*0.15) + MAX(0, (Z263-32333)*0.05) + MAX(0, (Z263-500000)*0.025) + MAX(0, (Z263-800000)*0.025) - AA263 - AB263))</f>
      </c>
      <c r="AD263" s="8">
        <f>IF(E263="","",AC263)</f>
      </c>
    </row>
    <row r="264" spans="1:30" x14ac:dyDescent="0.25">
      <c r="A264" s="6"/>
      <c r="B264" s="6"/>
      <c r="C264" s="6"/>
      <c r="F264" s="6"/>
      <c r="G264" s="6"/>
      <c r="L264" s="7"/>
      <c r="M264" s="7"/>
      <c r="N264" s="7"/>
      <c r="O264" s="7"/>
      <c r="P264" s="7"/>
      <c r="Q264" s="7"/>
      <c r="R264" s="7"/>
      <c r="S264" s="8">
        <f>IF(E264="","",SUM(L264:O264) + Q264 + R264)</f>
      </c>
      <c r="T264" s="8">
        <f>IF(E264="","",S264*0.0275)</f>
      </c>
      <c r="U264" s="8">
        <f>IF(E264="","",IF(S264&gt;0, MIN(S264*0.06, 6480), 0))</f>
      </c>
      <c r="V264" s="7"/>
      <c r="W264" s="7"/>
      <c r="X264" s="7"/>
      <c r="Y264" s="8">
        <f>IF(E264="","",S264*0.015)</f>
      </c>
      <c r="Z264" s="8">
        <f>IF(E264="","",MAX(0, S264 - T264 - U264 - V264 - W264 - X264 - Y264 - IF(J264="Yes", 150000, 0)))</f>
      </c>
      <c r="AA264" s="8">
        <f>IF(E264="","",IF(OR(L264&gt;0, E264&lt;&gt;""), 2400, 0))</f>
      </c>
      <c r="AB264" s="7"/>
      <c r="AC264" s="8">
        <f>IF(E264="","",MAX(0, MAX(0, Z264*0.1) + MAX(0, (Z264-24000)*0.15) + MAX(0, (Z264-32333)*0.05) + MAX(0, (Z264-500000)*0.025) + MAX(0, (Z264-800000)*0.025) - AA264 - AB264))</f>
      </c>
      <c r="AD264" s="8">
        <f>IF(E264="","",AC264)</f>
      </c>
    </row>
    <row r="265" spans="1:30" x14ac:dyDescent="0.25">
      <c r="A265" s="6"/>
      <c r="B265" s="6"/>
      <c r="C265" s="6"/>
      <c r="F265" s="6"/>
      <c r="G265" s="6"/>
      <c r="L265" s="7"/>
      <c r="M265" s="7"/>
      <c r="N265" s="7"/>
      <c r="O265" s="7"/>
      <c r="P265" s="7"/>
      <c r="Q265" s="7"/>
      <c r="R265" s="7"/>
      <c r="S265" s="8">
        <f>IF(E265="","",SUM(L265:O265) + Q265 + R265)</f>
      </c>
      <c r="T265" s="8">
        <f>IF(E265="","",S265*0.0275)</f>
      </c>
      <c r="U265" s="8">
        <f>IF(E265="","",IF(S265&gt;0, MIN(S265*0.06, 6480), 0))</f>
      </c>
      <c r="V265" s="7"/>
      <c r="W265" s="7"/>
      <c r="X265" s="7"/>
      <c r="Y265" s="8">
        <f>IF(E265="","",S265*0.015)</f>
      </c>
      <c r="Z265" s="8">
        <f>IF(E265="","",MAX(0, S265 - T265 - U265 - V265 - W265 - X265 - Y265 - IF(J265="Yes", 150000, 0)))</f>
      </c>
      <c r="AA265" s="8">
        <f>IF(E265="","",IF(OR(L265&gt;0, E265&lt;&gt;""), 2400, 0))</f>
      </c>
      <c r="AB265" s="7"/>
      <c r="AC265" s="8">
        <f>IF(E265="","",MAX(0, MAX(0, Z265*0.1) + MAX(0, (Z265-24000)*0.15) + MAX(0, (Z265-32333)*0.05) + MAX(0, (Z265-500000)*0.025) + MAX(0, (Z265-800000)*0.025) - AA265 - AB265))</f>
      </c>
      <c r="AD265" s="8">
        <f>IF(E265="","",AC265)</f>
      </c>
    </row>
    <row r="266" spans="1:30" x14ac:dyDescent="0.25">
      <c r="A266" s="6"/>
      <c r="B266" s="6"/>
      <c r="C266" s="6"/>
      <c r="F266" s="6"/>
      <c r="G266" s="6"/>
      <c r="L266" s="7"/>
      <c r="M266" s="7"/>
      <c r="N266" s="7"/>
      <c r="O266" s="7"/>
      <c r="P266" s="7"/>
      <c r="Q266" s="7"/>
      <c r="R266" s="7"/>
      <c r="S266" s="8">
        <f>IF(E266="","",SUM(L266:O266) + Q266 + R266)</f>
      </c>
      <c r="T266" s="8">
        <f>IF(E266="","",S266*0.0275)</f>
      </c>
      <c r="U266" s="8">
        <f>IF(E266="","",IF(S266&gt;0, MIN(S266*0.06, 6480), 0))</f>
      </c>
      <c r="V266" s="7"/>
      <c r="W266" s="7"/>
      <c r="X266" s="7"/>
      <c r="Y266" s="8">
        <f>IF(E266="","",S266*0.015)</f>
      </c>
      <c r="Z266" s="8">
        <f>IF(E266="","",MAX(0, S266 - T266 - U266 - V266 - W266 - X266 - Y266 - IF(J266="Yes", 150000, 0)))</f>
      </c>
      <c r="AA266" s="8">
        <f>IF(E266="","",IF(OR(L266&gt;0, E266&lt;&gt;""), 2400, 0))</f>
      </c>
      <c r="AB266" s="7"/>
      <c r="AC266" s="8">
        <f>IF(E266="","",MAX(0, MAX(0, Z266*0.1) + MAX(0, (Z266-24000)*0.15) + MAX(0, (Z266-32333)*0.05) + MAX(0, (Z266-500000)*0.025) + MAX(0, (Z266-800000)*0.025) - AA266 - AB266))</f>
      </c>
      <c r="AD266" s="8">
        <f>IF(E266="","",AC266)</f>
      </c>
    </row>
    <row r="267" spans="1:30" x14ac:dyDescent="0.25">
      <c r="A267" s="6"/>
      <c r="B267" s="6"/>
      <c r="C267" s="6"/>
      <c r="F267" s="6"/>
      <c r="G267" s="6"/>
      <c r="L267" s="7"/>
      <c r="M267" s="7"/>
      <c r="N267" s="7"/>
      <c r="O267" s="7"/>
      <c r="P267" s="7"/>
      <c r="Q267" s="7"/>
      <c r="R267" s="7"/>
      <c r="S267" s="8">
        <f>IF(E267="","",SUM(L267:O267) + Q267 + R267)</f>
      </c>
      <c r="T267" s="8">
        <f>IF(E267="","",S267*0.0275)</f>
      </c>
      <c r="U267" s="8">
        <f>IF(E267="","",IF(S267&gt;0, MIN(S267*0.06, 6480), 0))</f>
      </c>
      <c r="V267" s="7"/>
      <c r="W267" s="7"/>
      <c r="X267" s="7"/>
      <c r="Y267" s="8">
        <f>IF(E267="","",S267*0.015)</f>
      </c>
      <c r="Z267" s="8">
        <f>IF(E267="","",MAX(0, S267 - T267 - U267 - V267 - W267 - X267 - Y267 - IF(J267="Yes", 150000, 0)))</f>
      </c>
      <c r="AA267" s="8">
        <f>IF(E267="","",IF(OR(L267&gt;0, E267&lt;&gt;""), 2400, 0))</f>
      </c>
      <c r="AB267" s="7"/>
      <c r="AC267" s="8">
        <f>IF(E267="","",MAX(0, MAX(0, Z267*0.1) + MAX(0, (Z267-24000)*0.15) + MAX(0, (Z267-32333)*0.05) + MAX(0, (Z267-500000)*0.025) + MAX(0, (Z267-800000)*0.025) - AA267 - AB267))</f>
      </c>
      <c r="AD267" s="8">
        <f>IF(E267="","",AC267)</f>
      </c>
    </row>
    <row r="268" spans="1:30" x14ac:dyDescent="0.25">
      <c r="A268" s="6"/>
      <c r="B268" s="6"/>
      <c r="C268" s="6"/>
      <c r="F268" s="6"/>
      <c r="G268" s="6"/>
      <c r="L268" s="7"/>
      <c r="M268" s="7"/>
      <c r="N268" s="7"/>
      <c r="O268" s="7"/>
      <c r="P268" s="7"/>
      <c r="Q268" s="7"/>
      <c r="R268" s="7"/>
      <c r="S268" s="8">
        <f>IF(E268="","",SUM(L268:O268) + Q268 + R268)</f>
      </c>
      <c r="T268" s="8">
        <f>IF(E268="","",S268*0.0275)</f>
      </c>
      <c r="U268" s="8">
        <f>IF(E268="","",IF(S268&gt;0, MIN(S268*0.06, 6480), 0))</f>
      </c>
      <c r="V268" s="7"/>
      <c r="W268" s="7"/>
      <c r="X268" s="7"/>
      <c r="Y268" s="8">
        <f>IF(E268="","",S268*0.015)</f>
      </c>
      <c r="Z268" s="8">
        <f>IF(E268="","",MAX(0, S268 - T268 - U268 - V268 - W268 - X268 - Y268 - IF(J268="Yes", 150000, 0)))</f>
      </c>
      <c r="AA268" s="8">
        <f>IF(E268="","",IF(OR(L268&gt;0, E268&lt;&gt;""), 2400, 0))</f>
      </c>
      <c r="AB268" s="7"/>
      <c r="AC268" s="8">
        <f>IF(E268="","",MAX(0, MAX(0, Z268*0.1) + MAX(0, (Z268-24000)*0.15) + MAX(0, (Z268-32333)*0.05) + MAX(0, (Z268-500000)*0.025) + MAX(0, (Z268-800000)*0.025) - AA268 - AB268))</f>
      </c>
      <c r="AD268" s="8">
        <f>IF(E268="","",AC268)</f>
      </c>
    </row>
    <row r="269" spans="1:30" x14ac:dyDescent="0.25">
      <c r="A269" s="6"/>
      <c r="B269" s="6"/>
      <c r="C269" s="6"/>
      <c r="F269" s="6"/>
      <c r="G269" s="6"/>
      <c r="L269" s="7"/>
      <c r="M269" s="7"/>
      <c r="N269" s="7"/>
      <c r="O269" s="7"/>
      <c r="P269" s="7"/>
      <c r="Q269" s="7"/>
      <c r="R269" s="7"/>
      <c r="S269" s="8">
        <f>IF(E269="","",SUM(L269:O269) + Q269 + R269)</f>
      </c>
      <c r="T269" s="8">
        <f>IF(E269="","",S269*0.0275)</f>
      </c>
      <c r="U269" s="8">
        <f>IF(E269="","",IF(S269&gt;0, MIN(S269*0.06, 6480), 0))</f>
      </c>
      <c r="V269" s="7"/>
      <c r="W269" s="7"/>
      <c r="X269" s="7"/>
      <c r="Y269" s="8">
        <f>IF(E269="","",S269*0.015)</f>
      </c>
      <c r="Z269" s="8">
        <f>IF(E269="","",MAX(0, S269 - T269 - U269 - V269 - W269 - X269 - Y269 - IF(J269="Yes", 150000, 0)))</f>
      </c>
      <c r="AA269" s="8">
        <f>IF(E269="","",IF(OR(L269&gt;0, E269&lt;&gt;""), 2400, 0))</f>
      </c>
      <c r="AB269" s="7"/>
      <c r="AC269" s="8">
        <f>IF(E269="","",MAX(0, MAX(0, Z269*0.1) + MAX(0, (Z269-24000)*0.15) + MAX(0, (Z269-32333)*0.05) + MAX(0, (Z269-500000)*0.025) + MAX(0, (Z269-800000)*0.025) - AA269 - AB269))</f>
      </c>
      <c r="AD269" s="8">
        <f>IF(E269="","",AC269)</f>
      </c>
    </row>
    <row r="270" spans="1:30" x14ac:dyDescent="0.25">
      <c r="A270" s="6"/>
      <c r="B270" s="6"/>
      <c r="C270" s="6"/>
      <c r="F270" s="6"/>
      <c r="G270" s="6"/>
      <c r="L270" s="7"/>
      <c r="M270" s="7"/>
      <c r="N270" s="7"/>
      <c r="O270" s="7"/>
      <c r="P270" s="7"/>
      <c r="Q270" s="7"/>
      <c r="R270" s="7"/>
      <c r="S270" s="8">
        <f>IF(E270="","",SUM(L270:O270) + Q270 + R270)</f>
      </c>
      <c r="T270" s="8">
        <f>IF(E270="","",S270*0.0275)</f>
      </c>
      <c r="U270" s="8">
        <f>IF(E270="","",IF(S270&gt;0, MIN(S270*0.06, 6480), 0))</f>
      </c>
      <c r="V270" s="7"/>
      <c r="W270" s="7"/>
      <c r="X270" s="7"/>
      <c r="Y270" s="8">
        <f>IF(E270="","",S270*0.015)</f>
      </c>
      <c r="Z270" s="8">
        <f>IF(E270="","",MAX(0, S270 - T270 - U270 - V270 - W270 - X270 - Y270 - IF(J270="Yes", 150000, 0)))</f>
      </c>
      <c r="AA270" s="8">
        <f>IF(E270="","",IF(OR(L270&gt;0, E270&lt;&gt;""), 2400, 0))</f>
      </c>
      <c r="AB270" s="7"/>
      <c r="AC270" s="8">
        <f>IF(E270="","",MAX(0, MAX(0, Z270*0.1) + MAX(0, (Z270-24000)*0.15) + MAX(0, (Z270-32333)*0.05) + MAX(0, (Z270-500000)*0.025) + MAX(0, (Z270-800000)*0.025) - AA270 - AB270))</f>
      </c>
      <c r="AD270" s="8">
        <f>IF(E270="","",AC270)</f>
      </c>
    </row>
    <row r="271" spans="1:30" x14ac:dyDescent="0.25">
      <c r="A271" s="6"/>
      <c r="B271" s="6"/>
      <c r="C271" s="6"/>
      <c r="F271" s="6"/>
      <c r="G271" s="6"/>
      <c r="L271" s="7"/>
      <c r="M271" s="7"/>
      <c r="N271" s="7"/>
      <c r="O271" s="7"/>
      <c r="P271" s="7"/>
      <c r="Q271" s="7"/>
      <c r="R271" s="7"/>
      <c r="S271" s="8">
        <f>IF(E271="","",SUM(L271:O271) + Q271 + R271)</f>
      </c>
      <c r="T271" s="8">
        <f>IF(E271="","",S271*0.0275)</f>
      </c>
      <c r="U271" s="8">
        <f>IF(E271="","",IF(S271&gt;0, MIN(S271*0.06, 6480), 0))</f>
      </c>
      <c r="V271" s="7"/>
      <c r="W271" s="7"/>
      <c r="X271" s="7"/>
      <c r="Y271" s="8">
        <f>IF(E271="","",S271*0.015)</f>
      </c>
      <c r="Z271" s="8">
        <f>IF(E271="","",MAX(0, S271 - T271 - U271 - V271 - W271 - X271 - Y271 - IF(J271="Yes", 150000, 0)))</f>
      </c>
      <c r="AA271" s="8">
        <f>IF(E271="","",IF(OR(L271&gt;0, E271&lt;&gt;""), 2400, 0))</f>
      </c>
      <c r="AB271" s="7"/>
      <c r="AC271" s="8">
        <f>IF(E271="","",MAX(0, MAX(0, Z271*0.1) + MAX(0, (Z271-24000)*0.15) + MAX(0, (Z271-32333)*0.05) + MAX(0, (Z271-500000)*0.025) + MAX(0, (Z271-800000)*0.025) - AA271 - AB271))</f>
      </c>
      <c r="AD271" s="8">
        <f>IF(E271="","",AC271)</f>
      </c>
    </row>
    <row r="272" spans="1:30" x14ac:dyDescent="0.25">
      <c r="A272" s="6"/>
      <c r="B272" s="6"/>
      <c r="C272" s="6"/>
      <c r="F272" s="6"/>
      <c r="G272" s="6"/>
      <c r="L272" s="7"/>
      <c r="M272" s="7"/>
      <c r="N272" s="7"/>
      <c r="O272" s="7"/>
      <c r="P272" s="7"/>
      <c r="Q272" s="7"/>
      <c r="R272" s="7"/>
      <c r="S272" s="8">
        <f>IF(E272="","",SUM(L272:O272) + Q272 + R272)</f>
      </c>
      <c r="T272" s="8">
        <f>IF(E272="","",S272*0.0275)</f>
      </c>
      <c r="U272" s="8">
        <f>IF(E272="","",IF(S272&gt;0, MIN(S272*0.06, 6480), 0))</f>
      </c>
      <c r="V272" s="7"/>
      <c r="W272" s="7"/>
      <c r="X272" s="7"/>
      <c r="Y272" s="8">
        <f>IF(E272="","",S272*0.015)</f>
      </c>
      <c r="Z272" s="8">
        <f>IF(E272="","",MAX(0, S272 - T272 - U272 - V272 - W272 - X272 - Y272 - IF(J272="Yes", 150000, 0)))</f>
      </c>
      <c r="AA272" s="8">
        <f>IF(E272="","",IF(OR(L272&gt;0, E272&lt;&gt;""), 2400, 0))</f>
      </c>
      <c r="AB272" s="7"/>
      <c r="AC272" s="8">
        <f>IF(E272="","",MAX(0, MAX(0, Z272*0.1) + MAX(0, (Z272-24000)*0.15) + MAX(0, (Z272-32333)*0.05) + MAX(0, (Z272-500000)*0.025) + MAX(0, (Z272-800000)*0.025) - AA272 - AB272))</f>
      </c>
      <c r="AD272" s="8">
        <f>IF(E272="","",AC272)</f>
      </c>
    </row>
    <row r="273" spans="1:30" x14ac:dyDescent="0.25">
      <c r="A273" s="6"/>
      <c r="B273" s="6"/>
      <c r="C273" s="6"/>
      <c r="F273" s="6"/>
      <c r="G273" s="6"/>
      <c r="L273" s="7"/>
      <c r="M273" s="7"/>
      <c r="N273" s="7"/>
      <c r="O273" s="7"/>
      <c r="P273" s="7"/>
      <c r="Q273" s="7"/>
      <c r="R273" s="7"/>
      <c r="S273" s="8">
        <f>IF(E273="","",SUM(L273:O273) + Q273 + R273)</f>
      </c>
      <c r="T273" s="8">
        <f>IF(E273="","",S273*0.0275)</f>
      </c>
      <c r="U273" s="8">
        <f>IF(E273="","",IF(S273&gt;0, MIN(S273*0.06, 6480), 0))</f>
      </c>
      <c r="V273" s="7"/>
      <c r="W273" s="7"/>
      <c r="X273" s="7"/>
      <c r="Y273" s="8">
        <f>IF(E273="","",S273*0.015)</f>
      </c>
      <c r="Z273" s="8">
        <f>IF(E273="","",MAX(0, S273 - T273 - U273 - V273 - W273 - X273 - Y273 - IF(J273="Yes", 150000, 0)))</f>
      </c>
      <c r="AA273" s="8">
        <f>IF(E273="","",IF(OR(L273&gt;0, E273&lt;&gt;""), 2400, 0))</f>
      </c>
      <c r="AB273" s="7"/>
      <c r="AC273" s="8">
        <f>IF(E273="","",MAX(0, MAX(0, Z273*0.1) + MAX(0, (Z273-24000)*0.15) + MAX(0, (Z273-32333)*0.05) + MAX(0, (Z273-500000)*0.025) + MAX(0, (Z273-800000)*0.025) - AA273 - AB273))</f>
      </c>
      <c r="AD273" s="8">
        <f>IF(E273="","",AC273)</f>
      </c>
    </row>
    <row r="274" spans="1:30" x14ac:dyDescent="0.25">
      <c r="A274" s="6"/>
      <c r="B274" s="6"/>
      <c r="C274" s="6"/>
      <c r="F274" s="6"/>
      <c r="G274" s="6"/>
      <c r="L274" s="7"/>
      <c r="M274" s="7"/>
      <c r="N274" s="7"/>
      <c r="O274" s="7"/>
      <c r="P274" s="7"/>
      <c r="Q274" s="7"/>
      <c r="R274" s="7"/>
      <c r="S274" s="8">
        <f>IF(E274="","",SUM(L274:O274) + Q274 + R274)</f>
      </c>
      <c r="T274" s="8">
        <f>IF(E274="","",S274*0.0275)</f>
      </c>
      <c r="U274" s="8">
        <f>IF(E274="","",IF(S274&gt;0, MIN(S274*0.06, 6480), 0))</f>
      </c>
      <c r="V274" s="7"/>
      <c r="W274" s="7"/>
      <c r="X274" s="7"/>
      <c r="Y274" s="8">
        <f>IF(E274="","",S274*0.015)</f>
      </c>
      <c r="Z274" s="8">
        <f>IF(E274="","",MAX(0, S274 - T274 - U274 - V274 - W274 - X274 - Y274 - IF(J274="Yes", 150000, 0)))</f>
      </c>
      <c r="AA274" s="8">
        <f>IF(E274="","",IF(OR(L274&gt;0, E274&lt;&gt;""), 2400, 0))</f>
      </c>
      <c r="AB274" s="7"/>
      <c r="AC274" s="8">
        <f>IF(E274="","",MAX(0, MAX(0, Z274*0.1) + MAX(0, (Z274-24000)*0.15) + MAX(0, (Z274-32333)*0.05) + MAX(0, (Z274-500000)*0.025) + MAX(0, (Z274-800000)*0.025) - AA274 - AB274))</f>
      </c>
      <c r="AD274" s="8">
        <f>IF(E274="","",AC274)</f>
      </c>
    </row>
    <row r="275" spans="1:30" x14ac:dyDescent="0.25">
      <c r="A275" s="6"/>
      <c r="B275" s="6"/>
      <c r="C275" s="6"/>
      <c r="F275" s="6"/>
      <c r="G275" s="6"/>
      <c r="L275" s="7"/>
      <c r="M275" s="7"/>
      <c r="N275" s="7"/>
      <c r="O275" s="7"/>
      <c r="P275" s="7"/>
      <c r="Q275" s="7"/>
      <c r="R275" s="7"/>
      <c r="S275" s="8">
        <f>IF(E275="","",SUM(L275:O275) + Q275 + R275)</f>
      </c>
      <c r="T275" s="8">
        <f>IF(E275="","",S275*0.0275)</f>
      </c>
      <c r="U275" s="8">
        <f>IF(E275="","",IF(S275&gt;0, MIN(S275*0.06, 6480), 0))</f>
      </c>
      <c r="V275" s="7"/>
      <c r="W275" s="7"/>
      <c r="X275" s="7"/>
      <c r="Y275" s="8">
        <f>IF(E275="","",S275*0.015)</f>
      </c>
      <c r="Z275" s="8">
        <f>IF(E275="","",MAX(0, S275 - T275 - U275 - V275 - W275 - X275 - Y275 - IF(J275="Yes", 150000, 0)))</f>
      </c>
      <c r="AA275" s="8">
        <f>IF(E275="","",IF(OR(L275&gt;0, E275&lt;&gt;""), 2400, 0))</f>
      </c>
      <c r="AB275" s="7"/>
      <c r="AC275" s="8">
        <f>IF(E275="","",MAX(0, MAX(0, Z275*0.1) + MAX(0, (Z275-24000)*0.15) + MAX(0, (Z275-32333)*0.05) + MAX(0, (Z275-500000)*0.025) + MAX(0, (Z275-800000)*0.025) - AA275 - AB275))</f>
      </c>
      <c r="AD275" s="8">
        <f>IF(E275="","",AC275)</f>
      </c>
    </row>
    <row r="276" spans="1:30" x14ac:dyDescent="0.25">
      <c r="A276" s="6"/>
      <c r="B276" s="6"/>
      <c r="C276" s="6"/>
      <c r="F276" s="6"/>
      <c r="G276" s="6"/>
      <c r="L276" s="7"/>
      <c r="M276" s="7"/>
      <c r="N276" s="7"/>
      <c r="O276" s="7"/>
      <c r="P276" s="7"/>
      <c r="Q276" s="7"/>
      <c r="R276" s="7"/>
      <c r="S276" s="8">
        <f>IF(E276="","",SUM(L276:O276) + Q276 + R276)</f>
      </c>
      <c r="T276" s="8">
        <f>IF(E276="","",S276*0.0275)</f>
      </c>
      <c r="U276" s="8">
        <f>IF(E276="","",IF(S276&gt;0, MIN(S276*0.06, 6480), 0))</f>
      </c>
      <c r="V276" s="7"/>
      <c r="W276" s="7"/>
      <c r="X276" s="7"/>
      <c r="Y276" s="8">
        <f>IF(E276="","",S276*0.015)</f>
      </c>
      <c r="Z276" s="8">
        <f>IF(E276="","",MAX(0, S276 - T276 - U276 - V276 - W276 - X276 - Y276 - IF(J276="Yes", 150000, 0)))</f>
      </c>
      <c r="AA276" s="8">
        <f>IF(E276="","",IF(OR(L276&gt;0, E276&lt;&gt;""), 2400, 0))</f>
      </c>
      <c r="AB276" s="7"/>
      <c r="AC276" s="8">
        <f>IF(E276="","",MAX(0, MAX(0, Z276*0.1) + MAX(0, (Z276-24000)*0.15) + MAX(0, (Z276-32333)*0.05) + MAX(0, (Z276-500000)*0.025) + MAX(0, (Z276-800000)*0.025) - AA276 - AB276))</f>
      </c>
      <c r="AD276" s="8">
        <f>IF(E276="","",AC276)</f>
      </c>
    </row>
    <row r="277" spans="1:30" x14ac:dyDescent="0.25">
      <c r="A277" s="6"/>
      <c r="B277" s="6"/>
      <c r="C277" s="6"/>
      <c r="F277" s="6"/>
      <c r="G277" s="6"/>
      <c r="L277" s="7"/>
      <c r="M277" s="7"/>
      <c r="N277" s="7"/>
      <c r="O277" s="7"/>
      <c r="P277" s="7"/>
      <c r="Q277" s="7"/>
      <c r="R277" s="7"/>
      <c r="S277" s="8">
        <f>IF(E277="","",SUM(L277:O277) + Q277 + R277)</f>
      </c>
      <c r="T277" s="8">
        <f>IF(E277="","",S277*0.0275)</f>
      </c>
      <c r="U277" s="8">
        <f>IF(E277="","",IF(S277&gt;0, MIN(S277*0.06, 6480), 0))</f>
      </c>
      <c r="V277" s="7"/>
      <c r="W277" s="7"/>
      <c r="X277" s="7"/>
      <c r="Y277" s="8">
        <f>IF(E277="","",S277*0.015)</f>
      </c>
      <c r="Z277" s="8">
        <f>IF(E277="","",MAX(0, S277 - T277 - U277 - V277 - W277 - X277 - Y277 - IF(J277="Yes", 150000, 0)))</f>
      </c>
      <c r="AA277" s="8">
        <f>IF(E277="","",IF(OR(L277&gt;0, E277&lt;&gt;""), 2400, 0))</f>
      </c>
      <c r="AB277" s="7"/>
      <c r="AC277" s="8">
        <f>IF(E277="","",MAX(0, MAX(0, Z277*0.1) + MAX(0, (Z277-24000)*0.15) + MAX(0, (Z277-32333)*0.05) + MAX(0, (Z277-500000)*0.025) + MAX(0, (Z277-800000)*0.025) - AA277 - AB277))</f>
      </c>
      <c r="AD277" s="8">
        <f>IF(E277="","",AC277)</f>
      </c>
    </row>
    <row r="278" spans="1:30" x14ac:dyDescent="0.25">
      <c r="A278" s="6"/>
      <c r="B278" s="6"/>
      <c r="C278" s="6"/>
      <c r="F278" s="6"/>
      <c r="G278" s="6"/>
      <c r="L278" s="7"/>
      <c r="M278" s="7"/>
      <c r="N278" s="7"/>
      <c r="O278" s="7"/>
      <c r="P278" s="7"/>
      <c r="Q278" s="7"/>
      <c r="R278" s="7"/>
      <c r="S278" s="8">
        <f>IF(E278="","",SUM(L278:O278) + Q278 + R278)</f>
      </c>
      <c r="T278" s="8">
        <f>IF(E278="","",S278*0.0275)</f>
      </c>
      <c r="U278" s="8">
        <f>IF(E278="","",IF(S278&gt;0, MIN(S278*0.06, 6480), 0))</f>
      </c>
      <c r="V278" s="7"/>
      <c r="W278" s="7"/>
      <c r="X278" s="7"/>
      <c r="Y278" s="8">
        <f>IF(E278="","",S278*0.015)</f>
      </c>
      <c r="Z278" s="8">
        <f>IF(E278="","",MAX(0, S278 - T278 - U278 - V278 - W278 - X278 - Y278 - IF(J278="Yes", 150000, 0)))</f>
      </c>
      <c r="AA278" s="8">
        <f>IF(E278="","",IF(OR(L278&gt;0, E278&lt;&gt;""), 2400, 0))</f>
      </c>
      <c r="AB278" s="7"/>
      <c r="AC278" s="8">
        <f>IF(E278="","",MAX(0, MAX(0, Z278*0.1) + MAX(0, (Z278-24000)*0.15) + MAX(0, (Z278-32333)*0.05) + MAX(0, (Z278-500000)*0.025) + MAX(0, (Z278-800000)*0.025) - AA278 - AB278))</f>
      </c>
      <c r="AD278" s="8">
        <f>IF(E278="","",AC278)</f>
      </c>
    </row>
    <row r="279" spans="1:30" x14ac:dyDescent="0.25">
      <c r="A279" s="6"/>
      <c r="B279" s="6"/>
      <c r="C279" s="6"/>
      <c r="F279" s="6"/>
      <c r="G279" s="6"/>
      <c r="L279" s="7"/>
      <c r="M279" s="7"/>
      <c r="N279" s="7"/>
      <c r="O279" s="7"/>
      <c r="P279" s="7"/>
      <c r="Q279" s="7"/>
      <c r="R279" s="7"/>
      <c r="S279" s="8">
        <f>IF(E279="","",SUM(L279:O279) + Q279 + R279)</f>
      </c>
      <c r="T279" s="8">
        <f>IF(E279="","",S279*0.0275)</f>
      </c>
      <c r="U279" s="8">
        <f>IF(E279="","",IF(S279&gt;0, MIN(S279*0.06, 6480), 0))</f>
      </c>
      <c r="V279" s="7"/>
      <c r="W279" s="7"/>
      <c r="X279" s="7"/>
      <c r="Y279" s="8">
        <f>IF(E279="","",S279*0.015)</f>
      </c>
      <c r="Z279" s="8">
        <f>IF(E279="","",MAX(0, S279 - T279 - U279 - V279 - W279 - X279 - Y279 - IF(J279="Yes", 150000, 0)))</f>
      </c>
      <c r="AA279" s="8">
        <f>IF(E279="","",IF(OR(L279&gt;0, E279&lt;&gt;""), 2400, 0))</f>
      </c>
      <c r="AB279" s="7"/>
      <c r="AC279" s="8">
        <f>IF(E279="","",MAX(0, MAX(0, Z279*0.1) + MAX(0, (Z279-24000)*0.15) + MAX(0, (Z279-32333)*0.05) + MAX(0, (Z279-500000)*0.025) + MAX(0, (Z279-800000)*0.025) - AA279 - AB279))</f>
      </c>
      <c r="AD279" s="8">
        <f>IF(E279="","",AC279)</f>
      </c>
    </row>
    <row r="280" spans="1:30" x14ac:dyDescent="0.25">
      <c r="A280" s="6"/>
      <c r="B280" s="6"/>
      <c r="C280" s="6"/>
      <c r="F280" s="6"/>
      <c r="G280" s="6"/>
      <c r="L280" s="7"/>
      <c r="M280" s="7"/>
      <c r="N280" s="7"/>
      <c r="O280" s="7"/>
      <c r="P280" s="7"/>
      <c r="Q280" s="7"/>
      <c r="R280" s="7"/>
      <c r="S280" s="8">
        <f>IF(E280="","",SUM(L280:O280) + Q280 + R280)</f>
      </c>
      <c r="T280" s="8">
        <f>IF(E280="","",S280*0.0275)</f>
      </c>
      <c r="U280" s="8">
        <f>IF(E280="","",IF(S280&gt;0, MIN(S280*0.06, 6480), 0))</f>
      </c>
      <c r="V280" s="7"/>
      <c r="W280" s="7"/>
      <c r="X280" s="7"/>
      <c r="Y280" s="8">
        <f>IF(E280="","",S280*0.015)</f>
      </c>
      <c r="Z280" s="8">
        <f>IF(E280="","",MAX(0, S280 - T280 - U280 - V280 - W280 - X280 - Y280 - IF(J280="Yes", 150000, 0)))</f>
      </c>
      <c r="AA280" s="8">
        <f>IF(E280="","",IF(OR(L280&gt;0, E280&lt;&gt;""), 2400, 0))</f>
      </c>
      <c r="AB280" s="7"/>
      <c r="AC280" s="8">
        <f>IF(E280="","",MAX(0, MAX(0, Z280*0.1) + MAX(0, (Z280-24000)*0.15) + MAX(0, (Z280-32333)*0.05) + MAX(0, (Z280-500000)*0.025) + MAX(0, (Z280-800000)*0.025) - AA280 - AB280))</f>
      </c>
      <c r="AD280" s="8">
        <f>IF(E280="","",AC280)</f>
      </c>
    </row>
    <row r="281" spans="1:30" x14ac:dyDescent="0.25">
      <c r="A281" s="6"/>
      <c r="B281" s="6"/>
      <c r="C281" s="6"/>
      <c r="F281" s="6"/>
      <c r="G281" s="6"/>
      <c r="L281" s="7"/>
      <c r="M281" s="7"/>
      <c r="N281" s="7"/>
      <c r="O281" s="7"/>
      <c r="P281" s="7"/>
      <c r="Q281" s="7"/>
      <c r="R281" s="7"/>
      <c r="S281" s="8">
        <f>IF(E281="","",SUM(L281:O281) + Q281 + R281)</f>
      </c>
      <c r="T281" s="8">
        <f>IF(E281="","",S281*0.0275)</f>
      </c>
      <c r="U281" s="8">
        <f>IF(E281="","",IF(S281&gt;0, MIN(S281*0.06, 6480), 0))</f>
      </c>
      <c r="V281" s="7"/>
      <c r="W281" s="7"/>
      <c r="X281" s="7"/>
      <c r="Y281" s="8">
        <f>IF(E281="","",S281*0.015)</f>
      </c>
      <c r="Z281" s="8">
        <f>IF(E281="","",MAX(0, S281 - T281 - U281 - V281 - W281 - X281 - Y281 - IF(J281="Yes", 150000, 0)))</f>
      </c>
      <c r="AA281" s="8">
        <f>IF(E281="","",IF(OR(L281&gt;0, E281&lt;&gt;""), 2400, 0))</f>
      </c>
      <c r="AB281" s="7"/>
      <c r="AC281" s="8">
        <f>IF(E281="","",MAX(0, MAX(0, Z281*0.1) + MAX(0, (Z281-24000)*0.15) + MAX(0, (Z281-32333)*0.05) + MAX(0, (Z281-500000)*0.025) + MAX(0, (Z281-800000)*0.025) - AA281 - AB281))</f>
      </c>
      <c r="AD281" s="8">
        <f>IF(E281="","",AC281)</f>
      </c>
    </row>
    <row r="282" spans="1:30" x14ac:dyDescent="0.25">
      <c r="A282" s="6"/>
      <c r="B282" s="6"/>
      <c r="C282" s="6"/>
      <c r="F282" s="6"/>
      <c r="G282" s="6"/>
      <c r="L282" s="7"/>
      <c r="M282" s="7"/>
      <c r="N282" s="7"/>
      <c r="O282" s="7"/>
      <c r="P282" s="7"/>
      <c r="Q282" s="7"/>
      <c r="R282" s="7"/>
      <c r="S282" s="8">
        <f>IF(E282="","",SUM(L282:O282) + Q282 + R282)</f>
      </c>
      <c r="T282" s="8">
        <f>IF(E282="","",S282*0.0275)</f>
      </c>
      <c r="U282" s="8">
        <f>IF(E282="","",IF(S282&gt;0, MIN(S282*0.06, 6480), 0))</f>
      </c>
      <c r="V282" s="7"/>
      <c r="W282" s="7"/>
      <c r="X282" s="7"/>
      <c r="Y282" s="8">
        <f>IF(E282="","",S282*0.015)</f>
      </c>
      <c r="Z282" s="8">
        <f>IF(E282="","",MAX(0, S282 - T282 - U282 - V282 - W282 - X282 - Y282 - IF(J282="Yes", 150000, 0)))</f>
      </c>
      <c r="AA282" s="8">
        <f>IF(E282="","",IF(OR(L282&gt;0, E282&lt;&gt;""), 2400, 0))</f>
      </c>
      <c r="AB282" s="7"/>
      <c r="AC282" s="8">
        <f>IF(E282="","",MAX(0, MAX(0, Z282*0.1) + MAX(0, (Z282-24000)*0.15) + MAX(0, (Z282-32333)*0.05) + MAX(0, (Z282-500000)*0.025) + MAX(0, (Z282-800000)*0.025) - AA282 - AB282))</f>
      </c>
      <c r="AD282" s="8">
        <f>IF(E282="","",AC282)</f>
      </c>
    </row>
    <row r="283" spans="1:30" x14ac:dyDescent="0.25">
      <c r="A283" s="6"/>
      <c r="B283" s="6"/>
      <c r="C283" s="6"/>
      <c r="F283" s="6"/>
      <c r="G283" s="6"/>
      <c r="L283" s="7"/>
      <c r="M283" s="7"/>
      <c r="N283" s="7"/>
      <c r="O283" s="7"/>
      <c r="P283" s="7"/>
      <c r="Q283" s="7"/>
      <c r="R283" s="7"/>
      <c r="S283" s="8">
        <f>IF(E283="","",SUM(L283:O283) + Q283 + R283)</f>
      </c>
      <c r="T283" s="8">
        <f>IF(E283="","",S283*0.0275)</f>
      </c>
      <c r="U283" s="8">
        <f>IF(E283="","",IF(S283&gt;0, MIN(S283*0.06, 6480), 0))</f>
      </c>
      <c r="V283" s="7"/>
      <c r="W283" s="7"/>
      <c r="X283" s="7"/>
      <c r="Y283" s="8">
        <f>IF(E283="","",S283*0.015)</f>
      </c>
      <c r="Z283" s="8">
        <f>IF(E283="","",MAX(0, S283 - T283 - U283 - V283 - W283 - X283 - Y283 - IF(J283="Yes", 150000, 0)))</f>
      </c>
      <c r="AA283" s="8">
        <f>IF(E283="","",IF(OR(L283&gt;0, E283&lt;&gt;""), 2400, 0))</f>
      </c>
      <c r="AB283" s="7"/>
      <c r="AC283" s="8">
        <f>IF(E283="","",MAX(0, MAX(0, Z283*0.1) + MAX(0, (Z283-24000)*0.15) + MAX(0, (Z283-32333)*0.05) + MAX(0, (Z283-500000)*0.025) + MAX(0, (Z283-800000)*0.025) - AA283 - AB283))</f>
      </c>
      <c r="AD283" s="8">
        <f>IF(E283="","",AC283)</f>
      </c>
    </row>
    <row r="284" spans="1:30" x14ac:dyDescent="0.25">
      <c r="A284" s="6"/>
      <c r="B284" s="6"/>
      <c r="C284" s="6"/>
      <c r="F284" s="6"/>
      <c r="G284" s="6"/>
      <c r="L284" s="7"/>
      <c r="M284" s="7"/>
      <c r="N284" s="7"/>
      <c r="O284" s="7"/>
      <c r="P284" s="7"/>
      <c r="Q284" s="7"/>
      <c r="R284" s="7"/>
      <c r="S284" s="8">
        <f>IF(E284="","",SUM(L284:O284) + Q284 + R284)</f>
      </c>
      <c r="T284" s="8">
        <f>IF(E284="","",S284*0.0275)</f>
      </c>
      <c r="U284" s="8">
        <f>IF(E284="","",IF(S284&gt;0, MIN(S284*0.06, 6480), 0))</f>
      </c>
      <c r="V284" s="7"/>
      <c r="W284" s="7"/>
      <c r="X284" s="7"/>
      <c r="Y284" s="8">
        <f>IF(E284="","",S284*0.015)</f>
      </c>
      <c r="Z284" s="8">
        <f>IF(E284="","",MAX(0, S284 - T284 - U284 - V284 - W284 - X284 - Y284 - IF(J284="Yes", 150000, 0)))</f>
      </c>
      <c r="AA284" s="8">
        <f>IF(E284="","",IF(OR(L284&gt;0, E284&lt;&gt;""), 2400, 0))</f>
      </c>
      <c r="AB284" s="7"/>
      <c r="AC284" s="8">
        <f>IF(E284="","",MAX(0, MAX(0, Z284*0.1) + MAX(0, (Z284-24000)*0.15) + MAX(0, (Z284-32333)*0.05) + MAX(0, (Z284-500000)*0.025) + MAX(0, (Z284-800000)*0.025) - AA284 - AB284))</f>
      </c>
      <c r="AD284" s="8">
        <f>IF(E284="","",AC284)</f>
      </c>
    </row>
    <row r="285" spans="1:30" x14ac:dyDescent="0.25">
      <c r="A285" s="6"/>
      <c r="B285" s="6"/>
      <c r="C285" s="6"/>
      <c r="F285" s="6"/>
      <c r="G285" s="6"/>
      <c r="L285" s="7"/>
      <c r="M285" s="7"/>
      <c r="N285" s="7"/>
      <c r="O285" s="7"/>
      <c r="P285" s="7"/>
      <c r="Q285" s="7"/>
      <c r="R285" s="7"/>
      <c r="S285" s="8">
        <f>IF(E285="","",SUM(L285:O285) + Q285 + R285)</f>
      </c>
      <c r="T285" s="8">
        <f>IF(E285="","",S285*0.0275)</f>
      </c>
      <c r="U285" s="8">
        <f>IF(E285="","",IF(S285&gt;0, MIN(S285*0.06, 6480), 0))</f>
      </c>
      <c r="V285" s="7"/>
      <c r="W285" s="7"/>
      <c r="X285" s="7"/>
      <c r="Y285" s="8">
        <f>IF(E285="","",S285*0.015)</f>
      </c>
      <c r="Z285" s="8">
        <f>IF(E285="","",MAX(0, S285 - T285 - U285 - V285 - W285 - X285 - Y285 - IF(J285="Yes", 150000, 0)))</f>
      </c>
      <c r="AA285" s="8">
        <f>IF(E285="","",IF(OR(L285&gt;0, E285&lt;&gt;""), 2400, 0))</f>
      </c>
      <c r="AB285" s="7"/>
      <c r="AC285" s="8">
        <f>IF(E285="","",MAX(0, MAX(0, Z285*0.1) + MAX(0, (Z285-24000)*0.15) + MAX(0, (Z285-32333)*0.05) + MAX(0, (Z285-500000)*0.025) + MAX(0, (Z285-800000)*0.025) - AA285 - AB285))</f>
      </c>
      <c r="AD285" s="8">
        <f>IF(E285="","",AC285)</f>
      </c>
    </row>
    <row r="286" spans="1:30" x14ac:dyDescent="0.25">
      <c r="A286" s="6"/>
      <c r="B286" s="6"/>
      <c r="C286" s="6"/>
      <c r="F286" s="6"/>
      <c r="G286" s="6"/>
      <c r="L286" s="7"/>
      <c r="M286" s="7"/>
      <c r="N286" s="7"/>
      <c r="O286" s="7"/>
      <c r="P286" s="7"/>
      <c r="Q286" s="7"/>
      <c r="R286" s="7"/>
      <c r="S286" s="8">
        <f>IF(E286="","",SUM(L286:O286) + Q286 + R286)</f>
      </c>
      <c r="T286" s="8">
        <f>IF(E286="","",S286*0.0275)</f>
      </c>
      <c r="U286" s="8">
        <f>IF(E286="","",IF(S286&gt;0, MIN(S286*0.06, 6480), 0))</f>
      </c>
      <c r="V286" s="7"/>
      <c r="W286" s="7"/>
      <c r="X286" s="7"/>
      <c r="Y286" s="8">
        <f>IF(E286="","",S286*0.015)</f>
      </c>
      <c r="Z286" s="8">
        <f>IF(E286="","",MAX(0, S286 - T286 - U286 - V286 - W286 - X286 - Y286 - IF(J286="Yes", 150000, 0)))</f>
      </c>
      <c r="AA286" s="8">
        <f>IF(E286="","",IF(OR(L286&gt;0, E286&lt;&gt;""), 2400, 0))</f>
      </c>
      <c r="AB286" s="7"/>
      <c r="AC286" s="8">
        <f>IF(E286="","",MAX(0, MAX(0, Z286*0.1) + MAX(0, (Z286-24000)*0.15) + MAX(0, (Z286-32333)*0.05) + MAX(0, (Z286-500000)*0.025) + MAX(0, (Z286-800000)*0.025) - AA286 - AB286))</f>
      </c>
      <c r="AD286" s="8">
        <f>IF(E286="","",AC286)</f>
      </c>
    </row>
    <row r="287" spans="1:30" x14ac:dyDescent="0.25">
      <c r="A287" s="6"/>
      <c r="B287" s="6"/>
      <c r="C287" s="6"/>
      <c r="F287" s="6"/>
      <c r="G287" s="6"/>
      <c r="L287" s="7"/>
      <c r="M287" s="7"/>
      <c r="N287" s="7"/>
      <c r="O287" s="7"/>
      <c r="P287" s="7"/>
      <c r="Q287" s="7"/>
      <c r="R287" s="7"/>
      <c r="S287" s="8">
        <f>IF(E287="","",SUM(L287:O287) + Q287 + R287)</f>
      </c>
      <c r="T287" s="8">
        <f>IF(E287="","",S287*0.0275)</f>
      </c>
      <c r="U287" s="8">
        <f>IF(E287="","",IF(S287&gt;0, MIN(S287*0.06, 6480), 0))</f>
      </c>
      <c r="V287" s="7"/>
      <c r="W287" s="7"/>
      <c r="X287" s="7"/>
      <c r="Y287" s="8">
        <f>IF(E287="","",S287*0.015)</f>
      </c>
      <c r="Z287" s="8">
        <f>IF(E287="","",MAX(0, S287 - T287 - U287 - V287 - W287 - X287 - Y287 - IF(J287="Yes", 150000, 0)))</f>
      </c>
      <c r="AA287" s="8">
        <f>IF(E287="","",IF(OR(L287&gt;0, E287&lt;&gt;""), 2400, 0))</f>
      </c>
      <c r="AB287" s="7"/>
      <c r="AC287" s="8">
        <f>IF(E287="","",MAX(0, MAX(0, Z287*0.1) + MAX(0, (Z287-24000)*0.15) + MAX(0, (Z287-32333)*0.05) + MAX(0, (Z287-500000)*0.025) + MAX(0, (Z287-800000)*0.025) - AA287 - AB287))</f>
      </c>
      <c r="AD287" s="8">
        <f>IF(E287="","",AC287)</f>
      </c>
    </row>
    <row r="288" spans="1:30" x14ac:dyDescent="0.25">
      <c r="A288" s="6"/>
      <c r="B288" s="6"/>
      <c r="C288" s="6"/>
      <c r="F288" s="6"/>
      <c r="G288" s="6"/>
      <c r="L288" s="7"/>
      <c r="M288" s="7"/>
      <c r="N288" s="7"/>
      <c r="O288" s="7"/>
      <c r="P288" s="7"/>
      <c r="Q288" s="7"/>
      <c r="R288" s="7"/>
      <c r="S288" s="8">
        <f>IF(E288="","",SUM(L288:O288) + Q288 + R288)</f>
      </c>
      <c r="T288" s="8">
        <f>IF(E288="","",S288*0.0275)</f>
      </c>
      <c r="U288" s="8">
        <f>IF(E288="","",IF(S288&gt;0, MIN(S288*0.06, 6480), 0))</f>
      </c>
      <c r="V288" s="7"/>
      <c r="W288" s="7"/>
      <c r="X288" s="7"/>
      <c r="Y288" s="8">
        <f>IF(E288="","",S288*0.015)</f>
      </c>
      <c r="Z288" s="8">
        <f>IF(E288="","",MAX(0, S288 - T288 - U288 - V288 - W288 - X288 - Y288 - IF(J288="Yes", 150000, 0)))</f>
      </c>
      <c r="AA288" s="8">
        <f>IF(E288="","",IF(OR(L288&gt;0, E288&lt;&gt;""), 2400, 0))</f>
      </c>
      <c r="AB288" s="7"/>
      <c r="AC288" s="8">
        <f>IF(E288="","",MAX(0, MAX(0, Z288*0.1) + MAX(0, (Z288-24000)*0.15) + MAX(0, (Z288-32333)*0.05) + MAX(0, (Z288-500000)*0.025) + MAX(0, (Z288-800000)*0.025) - AA288 - AB288))</f>
      </c>
      <c r="AD288" s="8">
        <f>IF(E288="","",AC288)</f>
      </c>
    </row>
    <row r="289" spans="1:30" x14ac:dyDescent="0.25">
      <c r="A289" s="6"/>
      <c r="B289" s="6"/>
      <c r="C289" s="6"/>
      <c r="F289" s="6"/>
      <c r="G289" s="6"/>
      <c r="L289" s="7"/>
      <c r="M289" s="7"/>
      <c r="N289" s="7"/>
      <c r="O289" s="7"/>
      <c r="P289" s="7"/>
      <c r="Q289" s="7"/>
      <c r="R289" s="7"/>
      <c r="S289" s="8">
        <f>IF(E289="","",SUM(L289:O289) + Q289 + R289)</f>
      </c>
      <c r="T289" s="8">
        <f>IF(E289="","",S289*0.0275)</f>
      </c>
      <c r="U289" s="8">
        <f>IF(E289="","",IF(S289&gt;0, MIN(S289*0.06, 6480), 0))</f>
      </c>
      <c r="V289" s="7"/>
      <c r="W289" s="7"/>
      <c r="X289" s="7"/>
      <c r="Y289" s="8">
        <f>IF(E289="","",S289*0.015)</f>
      </c>
      <c r="Z289" s="8">
        <f>IF(E289="","",MAX(0, S289 - T289 - U289 - V289 - W289 - X289 - Y289 - IF(J289="Yes", 150000, 0)))</f>
      </c>
      <c r="AA289" s="8">
        <f>IF(E289="","",IF(OR(L289&gt;0, E289&lt;&gt;""), 2400, 0))</f>
      </c>
      <c r="AB289" s="7"/>
      <c r="AC289" s="8">
        <f>IF(E289="","",MAX(0, MAX(0, Z289*0.1) + MAX(0, (Z289-24000)*0.15) + MAX(0, (Z289-32333)*0.05) + MAX(0, (Z289-500000)*0.025) + MAX(0, (Z289-800000)*0.025) - AA289 - AB289))</f>
      </c>
      <c r="AD289" s="8">
        <f>IF(E289="","",AC289)</f>
      </c>
    </row>
    <row r="290" spans="1:30" x14ac:dyDescent="0.25">
      <c r="A290" s="6"/>
      <c r="B290" s="6"/>
      <c r="C290" s="6"/>
      <c r="F290" s="6"/>
      <c r="G290" s="6"/>
      <c r="L290" s="7"/>
      <c r="M290" s="7"/>
      <c r="N290" s="7"/>
      <c r="O290" s="7"/>
      <c r="P290" s="7"/>
      <c r="Q290" s="7"/>
      <c r="R290" s="7"/>
      <c r="S290" s="8">
        <f>IF(E290="","",SUM(L290:O290) + Q290 + R290)</f>
      </c>
      <c r="T290" s="8">
        <f>IF(E290="","",S290*0.0275)</f>
      </c>
      <c r="U290" s="8">
        <f>IF(E290="","",IF(S290&gt;0, MIN(S290*0.06, 6480), 0))</f>
      </c>
      <c r="V290" s="7"/>
      <c r="W290" s="7"/>
      <c r="X290" s="7"/>
      <c r="Y290" s="8">
        <f>IF(E290="","",S290*0.015)</f>
      </c>
      <c r="Z290" s="8">
        <f>IF(E290="","",MAX(0, S290 - T290 - U290 - V290 - W290 - X290 - Y290 - IF(J290="Yes", 150000, 0)))</f>
      </c>
      <c r="AA290" s="8">
        <f>IF(E290="","",IF(OR(L290&gt;0, E290&lt;&gt;""), 2400, 0))</f>
      </c>
      <c r="AB290" s="7"/>
      <c r="AC290" s="8">
        <f>IF(E290="","",MAX(0, MAX(0, Z290*0.1) + MAX(0, (Z290-24000)*0.15) + MAX(0, (Z290-32333)*0.05) + MAX(0, (Z290-500000)*0.025) + MAX(0, (Z290-800000)*0.025) - AA290 - AB290))</f>
      </c>
      <c r="AD290" s="8">
        <f>IF(E290="","",AC290)</f>
      </c>
    </row>
    <row r="291" spans="1:30" x14ac:dyDescent="0.25">
      <c r="A291" s="6"/>
      <c r="B291" s="6"/>
      <c r="C291" s="6"/>
      <c r="F291" s="6"/>
      <c r="G291" s="6"/>
      <c r="L291" s="7"/>
      <c r="M291" s="7"/>
      <c r="N291" s="7"/>
      <c r="O291" s="7"/>
      <c r="P291" s="7"/>
      <c r="Q291" s="7"/>
      <c r="R291" s="7"/>
      <c r="S291" s="8">
        <f>IF(E291="","",SUM(L291:O291) + Q291 + R291)</f>
      </c>
      <c r="T291" s="8">
        <f>IF(E291="","",S291*0.0275)</f>
      </c>
      <c r="U291" s="8">
        <f>IF(E291="","",IF(S291&gt;0, MIN(S291*0.06, 6480), 0))</f>
      </c>
      <c r="V291" s="7"/>
      <c r="W291" s="7"/>
      <c r="X291" s="7"/>
      <c r="Y291" s="8">
        <f>IF(E291="","",S291*0.015)</f>
      </c>
      <c r="Z291" s="8">
        <f>IF(E291="","",MAX(0, S291 - T291 - U291 - V291 - W291 - X291 - Y291 - IF(J291="Yes", 150000, 0)))</f>
      </c>
      <c r="AA291" s="8">
        <f>IF(E291="","",IF(OR(L291&gt;0, E291&lt;&gt;""), 2400, 0))</f>
      </c>
      <c r="AB291" s="7"/>
      <c r="AC291" s="8">
        <f>IF(E291="","",MAX(0, MAX(0, Z291*0.1) + MAX(0, (Z291-24000)*0.15) + MAX(0, (Z291-32333)*0.05) + MAX(0, (Z291-500000)*0.025) + MAX(0, (Z291-800000)*0.025) - AA291 - AB291))</f>
      </c>
      <c r="AD291" s="8">
        <f>IF(E291="","",AC291)</f>
      </c>
    </row>
    <row r="292" spans="1:30" x14ac:dyDescent="0.25">
      <c r="A292" s="6"/>
      <c r="B292" s="6"/>
      <c r="C292" s="6"/>
      <c r="F292" s="6"/>
      <c r="G292" s="6"/>
      <c r="L292" s="7"/>
      <c r="M292" s="7"/>
      <c r="N292" s="7"/>
      <c r="O292" s="7"/>
      <c r="P292" s="7"/>
      <c r="Q292" s="7"/>
      <c r="R292" s="7"/>
      <c r="S292" s="8">
        <f>IF(E292="","",SUM(L292:O292) + Q292 + R292)</f>
      </c>
      <c r="T292" s="8">
        <f>IF(E292="","",S292*0.0275)</f>
      </c>
      <c r="U292" s="8">
        <f>IF(E292="","",IF(S292&gt;0, MIN(S292*0.06, 6480), 0))</f>
      </c>
      <c r="V292" s="7"/>
      <c r="W292" s="7"/>
      <c r="X292" s="7"/>
      <c r="Y292" s="8">
        <f>IF(E292="","",S292*0.015)</f>
      </c>
      <c r="Z292" s="8">
        <f>IF(E292="","",MAX(0, S292 - T292 - U292 - V292 - W292 - X292 - Y292 - IF(J292="Yes", 150000, 0)))</f>
      </c>
      <c r="AA292" s="8">
        <f>IF(E292="","",IF(OR(L292&gt;0, E292&lt;&gt;""), 2400, 0))</f>
      </c>
      <c r="AB292" s="7"/>
      <c r="AC292" s="8">
        <f>IF(E292="","",MAX(0, MAX(0, Z292*0.1) + MAX(0, (Z292-24000)*0.15) + MAX(0, (Z292-32333)*0.05) + MAX(0, (Z292-500000)*0.025) + MAX(0, (Z292-800000)*0.025) - AA292 - AB292))</f>
      </c>
      <c r="AD292" s="8">
        <f>IF(E292="","",AC292)</f>
      </c>
    </row>
    <row r="293" spans="1:30" x14ac:dyDescent="0.25">
      <c r="A293" s="6"/>
      <c r="B293" s="6"/>
      <c r="C293" s="6"/>
      <c r="F293" s="6"/>
      <c r="G293" s="6"/>
      <c r="L293" s="7"/>
      <c r="M293" s="7"/>
      <c r="N293" s="7"/>
      <c r="O293" s="7"/>
      <c r="P293" s="7"/>
      <c r="Q293" s="7"/>
      <c r="R293" s="7"/>
      <c r="S293" s="8">
        <f>IF(E293="","",SUM(L293:O293) + Q293 + R293)</f>
      </c>
      <c r="T293" s="8">
        <f>IF(E293="","",S293*0.0275)</f>
      </c>
      <c r="U293" s="8">
        <f>IF(E293="","",IF(S293&gt;0, MIN(S293*0.06, 6480), 0))</f>
      </c>
      <c r="V293" s="7"/>
      <c r="W293" s="7"/>
      <c r="X293" s="7"/>
      <c r="Y293" s="8">
        <f>IF(E293="","",S293*0.015)</f>
      </c>
      <c r="Z293" s="8">
        <f>IF(E293="","",MAX(0, S293 - T293 - U293 - V293 - W293 - X293 - Y293 - IF(J293="Yes", 150000, 0)))</f>
      </c>
      <c r="AA293" s="8">
        <f>IF(E293="","",IF(OR(L293&gt;0, E293&lt;&gt;""), 2400, 0))</f>
      </c>
      <c r="AB293" s="7"/>
      <c r="AC293" s="8">
        <f>IF(E293="","",MAX(0, MAX(0, Z293*0.1) + MAX(0, (Z293-24000)*0.15) + MAX(0, (Z293-32333)*0.05) + MAX(0, (Z293-500000)*0.025) + MAX(0, (Z293-800000)*0.025) - AA293 - AB293))</f>
      </c>
      <c r="AD293" s="8">
        <f>IF(E293="","",AC293)</f>
      </c>
    </row>
    <row r="294" spans="1:30" x14ac:dyDescent="0.25">
      <c r="A294" s="6"/>
      <c r="B294" s="6"/>
      <c r="C294" s="6"/>
      <c r="F294" s="6"/>
      <c r="G294" s="6"/>
      <c r="L294" s="7"/>
      <c r="M294" s="7"/>
      <c r="N294" s="7"/>
      <c r="O294" s="7"/>
      <c r="P294" s="7"/>
      <c r="Q294" s="7"/>
      <c r="R294" s="7"/>
      <c r="S294" s="8">
        <f>IF(E294="","",SUM(L294:O294) + Q294 + R294)</f>
      </c>
      <c r="T294" s="8">
        <f>IF(E294="","",S294*0.0275)</f>
      </c>
      <c r="U294" s="8">
        <f>IF(E294="","",IF(S294&gt;0, MIN(S294*0.06, 6480), 0))</f>
      </c>
      <c r="V294" s="7"/>
      <c r="W294" s="7"/>
      <c r="X294" s="7"/>
      <c r="Y294" s="8">
        <f>IF(E294="","",S294*0.015)</f>
      </c>
      <c r="Z294" s="8">
        <f>IF(E294="","",MAX(0, S294 - T294 - U294 - V294 - W294 - X294 - Y294 - IF(J294="Yes", 150000, 0)))</f>
      </c>
      <c r="AA294" s="8">
        <f>IF(E294="","",IF(OR(L294&gt;0, E294&lt;&gt;""), 2400, 0))</f>
      </c>
      <c r="AB294" s="7"/>
      <c r="AC294" s="8">
        <f>IF(E294="","",MAX(0, MAX(0, Z294*0.1) + MAX(0, (Z294-24000)*0.15) + MAX(0, (Z294-32333)*0.05) + MAX(0, (Z294-500000)*0.025) + MAX(0, (Z294-800000)*0.025) - AA294 - AB294))</f>
      </c>
      <c r="AD294" s="8">
        <f>IF(E294="","",AC294)</f>
      </c>
    </row>
    <row r="295" spans="1:30" x14ac:dyDescent="0.25">
      <c r="A295" s="6"/>
      <c r="B295" s="6"/>
      <c r="C295" s="6"/>
      <c r="F295" s="6"/>
      <c r="G295" s="6"/>
      <c r="L295" s="7"/>
      <c r="M295" s="7"/>
      <c r="N295" s="7"/>
      <c r="O295" s="7"/>
      <c r="P295" s="7"/>
      <c r="Q295" s="7"/>
      <c r="R295" s="7"/>
      <c r="S295" s="8">
        <f>IF(E295="","",SUM(L295:O295) + Q295 + R295)</f>
      </c>
      <c r="T295" s="8">
        <f>IF(E295="","",S295*0.0275)</f>
      </c>
      <c r="U295" s="8">
        <f>IF(E295="","",IF(S295&gt;0, MIN(S295*0.06, 6480), 0))</f>
      </c>
      <c r="V295" s="7"/>
      <c r="W295" s="7"/>
      <c r="X295" s="7"/>
      <c r="Y295" s="8">
        <f>IF(E295="","",S295*0.015)</f>
      </c>
      <c r="Z295" s="8">
        <f>IF(E295="","",MAX(0, S295 - T295 - U295 - V295 - W295 - X295 - Y295 - IF(J295="Yes", 150000, 0)))</f>
      </c>
      <c r="AA295" s="8">
        <f>IF(E295="","",IF(OR(L295&gt;0, E295&lt;&gt;""), 2400, 0))</f>
      </c>
      <c r="AB295" s="7"/>
      <c r="AC295" s="8">
        <f>IF(E295="","",MAX(0, MAX(0, Z295*0.1) + MAX(0, (Z295-24000)*0.15) + MAX(0, (Z295-32333)*0.05) + MAX(0, (Z295-500000)*0.025) + MAX(0, (Z295-800000)*0.025) - AA295 - AB295))</f>
      </c>
      <c r="AD295" s="8">
        <f>IF(E295="","",AC295)</f>
      </c>
    </row>
    <row r="296" spans="1:30" x14ac:dyDescent="0.25">
      <c r="A296" s="6"/>
      <c r="B296" s="6"/>
      <c r="C296" s="6"/>
      <c r="F296" s="6"/>
      <c r="G296" s="6"/>
      <c r="L296" s="7"/>
      <c r="M296" s="7"/>
      <c r="N296" s="7"/>
      <c r="O296" s="7"/>
      <c r="P296" s="7"/>
      <c r="Q296" s="7"/>
      <c r="R296" s="7"/>
      <c r="S296" s="8">
        <f>IF(E296="","",SUM(L296:O296) + Q296 + R296)</f>
      </c>
      <c r="T296" s="8">
        <f>IF(E296="","",S296*0.0275)</f>
      </c>
      <c r="U296" s="8">
        <f>IF(E296="","",IF(S296&gt;0, MIN(S296*0.06, 6480), 0))</f>
      </c>
      <c r="V296" s="7"/>
      <c r="W296" s="7"/>
      <c r="X296" s="7"/>
      <c r="Y296" s="8">
        <f>IF(E296="","",S296*0.015)</f>
      </c>
      <c r="Z296" s="8">
        <f>IF(E296="","",MAX(0, S296 - T296 - U296 - V296 - W296 - X296 - Y296 - IF(J296="Yes", 150000, 0)))</f>
      </c>
      <c r="AA296" s="8">
        <f>IF(E296="","",IF(OR(L296&gt;0, E296&lt;&gt;""), 2400, 0))</f>
      </c>
      <c r="AB296" s="7"/>
      <c r="AC296" s="8">
        <f>IF(E296="","",MAX(0, MAX(0, Z296*0.1) + MAX(0, (Z296-24000)*0.15) + MAX(0, (Z296-32333)*0.05) + MAX(0, (Z296-500000)*0.025) + MAX(0, (Z296-800000)*0.025) - AA296 - AB296))</f>
      </c>
      <c r="AD296" s="8">
        <f>IF(E296="","",AC296)</f>
      </c>
    </row>
    <row r="297" spans="1:30" x14ac:dyDescent="0.25">
      <c r="A297" s="6"/>
      <c r="B297" s="6"/>
      <c r="C297" s="6"/>
      <c r="F297" s="6"/>
      <c r="G297" s="6"/>
      <c r="L297" s="7"/>
      <c r="M297" s="7"/>
      <c r="N297" s="7"/>
      <c r="O297" s="7"/>
      <c r="P297" s="7"/>
      <c r="Q297" s="7"/>
      <c r="R297" s="7"/>
      <c r="S297" s="8">
        <f>IF(E297="","",SUM(L297:O297) + Q297 + R297)</f>
      </c>
      <c r="T297" s="8">
        <f>IF(E297="","",S297*0.0275)</f>
      </c>
      <c r="U297" s="8">
        <f>IF(E297="","",IF(S297&gt;0, MIN(S297*0.06, 6480), 0))</f>
      </c>
      <c r="V297" s="7"/>
      <c r="W297" s="7"/>
      <c r="X297" s="7"/>
      <c r="Y297" s="8">
        <f>IF(E297="","",S297*0.015)</f>
      </c>
      <c r="Z297" s="8">
        <f>IF(E297="","",MAX(0, S297 - T297 - U297 - V297 - W297 - X297 - Y297 - IF(J297="Yes", 150000, 0)))</f>
      </c>
      <c r="AA297" s="8">
        <f>IF(E297="","",IF(OR(L297&gt;0, E297&lt;&gt;""), 2400, 0))</f>
      </c>
      <c r="AB297" s="7"/>
      <c r="AC297" s="8">
        <f>IF(E297="","",MAX(0, MAX(0, Z297*0.1) + MAX(0, (Z297-24000)*0.15) + MAX(0, (Z297-32333)*0.05) + MAX(0, (Z297-500000)*0.025) + MAX(0, (Z297-800000)*0.025) - AA297 - AB297))</f>
      </c>
      <c r="AD297" s="8">
        <f>IF(E297="","",AC297)</f>
      </c>
    </row>
    <row r="298" spans="1:30" x14ac:dyDescent="0.25">
      <c r="A298" s="6"/>
      <c r="B298" s="6"/>
      <c r="C298" s="6"/>
      <c r="F298" s="6"/>
      <c r="G298" s="6"/>
      <c r="L298" s="7"/>
      <c r="M298" s="7"/>
      <c r="N298" s="7"/>
      <c r="O298" s="7"/>
      <c r="P298" s="7"/>
      <c r="Q298" s="7"/>
      <c r="R298" s="7"/>
      <c r="S298" s="8">
        <f>IF(E298="","",SUM(L298:O298) + Q298 + R298)</f>
      </c>
      <c r="T298" s="8">
        <f>IF(E298="","",S298*0.0275)</f>
      </c>
      <c r="U298" s="8">
        <f>IF(E298="","",IF(S298&gt;0, MIN(S298*0.06, 6480), 0))</f>
      </c>
      <c r="V298" s="7"/>
      <c r="W298" s="7"/>
      <c r="X298" s="7"/>
      <c r="Y298" s="8">
        <f>IF(E298="","",S298*0.015)</f>
      </c>
      <c r="Z298" s="8">
        <f>IF(E298="","",MAX(0, S298 - T298 - U298 - V298 - W298 - X298 - Y298 - IF(J298="Yes", 150000, 0)))</f>
      </c>
      <c r="AA298" s="8">
        <f>IF(E298="","",IF(OR(L298&gt;0, E298&lt;&gt;""), 2400, 0))</f>
      </c>
      <c r="AB298" s="7"/>
      <c r="AC298" s="8">
        <f>IF(E298="","",MAX(0, MAX(0, Z298*0.1) + MAX(0, (Z298-24000)*0.15) + MAX(0, (Z298-32333)*0.05) + MAX(0, (Z298-500000)*0.025) + MAX(0, (Z298-800000)*0.025) - AA298 - AB298))</f>
      </c>
      <c r="AD298" s="8">
        <f>IF(E298="","",AC298)</f>
      </c>
    </row>
    <row r="299" spans="1:30" x14ac:dyDescent="0.25">
      <c r="A299" s="6"/>
      <c r="B299" s="6"/>
      <c r="C299" s="6"/>
      <c r="F299" s="6"/>
      <c r="G299" s="6"/>
      <c r="L299" s="7"/>
      <c r="M299" s="7"/>
      <c r="N299" s="7"/>
      <c r="O299" s="7"/>
      <c r="P299" s="7"/>
      <c r="Q299" s="7"/>
      <c r="R299" s="7"/>
      <c r="S299" s="8">
        <f>IF(E299="","",SUM(L299:O299) + Q299 + R299)</f>
      </c>
      <c r="T299" s="8">
        <f>IF(E299="","",S299*0.0275)</f>
      </c>
      <c r="U299" s="8">
        <f>IF(E299="","",IF(S299&gt;0, MIN(S299*0.06, 6480), 0))</f>
      </c>
      <c r="V299" s="7"/>
      <c r="W299" s="7"/>
      <c r="X299" s="7"/>
      <c r="Y299" s="8">
        <f>IF(E299="","",S299*0.015)</f>
      </c>
      <c r="Z299" s="8">
        <f>IF(E299="","",MAX(0, S299 - T299 - U299 - V299 - W299 - X299 - Y299 - IF(J299="Yes", 150000, 0)))</f>
      </c>
      <c r="AA299" s="8">
        <f>IF(E299="","",IF(OR(L299&gt;0, E299&lt;&gt;""), 2400, 0))</f>
      </c>
      <c r="AB299" s="7"/>
      <c r="AC299" s="8">
        <f>IF(E299="","",MAX(0, MAX(0, Z299*0.1) + MAX(0, (Z299-24000)*0.15) + MAX(0, (Z299-32333)*0.05) + MAX(0, (Z299-500000)*0.025) + MAX(0, (Z299-800000)*0.025) - AA299 - AB299))</f>
      </c>
      <c r="AD299" s="8">
        <f>IF(E299="","",AC299)</f>
      </c>
    </row>
    <row r="300" spans="1:30" x14ac:dyDescent="0.25">
      <c r="A300" s="6"/>
      <c r="B300" s="6"/>
      <c r="C300" s="6"/>
      <c r="F300" s="6"/>
      <c r="G300" s="6"/>
      <c r="L300" s="7"/>
      <c r="M300" s="7"/>
      <c r="N300" s="7"/>
      <c r="O300" s="7"/>
      <c r="P300" s="7"/>
      <c r="Q300" s="7"/>
      <c r="R300" s="7"/>
      <c r="S300" s="8">
        <f>IF(E300="","",SUM(L300:O300) + Q300 + R300)</f>
      </c>
      <c r="T300" s="8">
        <f>IF(E300="","",S300*0.0275)</f>
      </c>
      <c r="U300" s="8">
        <f>IF(E300="","",IF(S300&gt;0, MIN(S300*0.06, 6480), 0))</f>
      </c>
      <c r="V300" s="7"/>
      <c r="W300" s="7"/>
      <c r="X300" s="7"/>
      <c r="Y300" s="8">
        <f>IF(E300="","",S300*0.015)</f>
      </c>
      <c r="Z300" s="8">
        <f>IF(E300="","",MAX(0, S300 - T300 - U300 - V300 - W300 - X300 - Y300 - IF(J300="Yes", 150000, 0)))</f>
      </c>
      <c r="AA300" s="8">
        <f>IF(E300="","",IF(OR(L300&gt;0, E300&lt;&gt;""), 2400, 0))</f>
      </c>
      <c r="AB300" s="7"/>
      <c r="AC300" s="8">
        <f>IF(E300="","",MAX(0, MAX(0, Z300*0.1) + MAX(0, (Z300-24000)*0.15) + MAX(0, (Z300-32333)*0.05) + MAX(0, (Z300-500000)*0.025) + MAX(0, (Z300-800000)*0.025) - AA300 - AB300))</f>
      </c>
      <c r="AD300" s="8">
        <f>IF(E300="","",AC300)</f>
      </c>
    </row>
    <row r="301" spans="1:30" x14ac:dyDescent="0.25">
      <c r="A301" s="6"/>
      <c r="B301" s="6"/>
      <c r="C301" s="6"/>
      <c r="F301" s="6"/>
      <c r="G301" s="6"/>
      <c r="L301" s="7"/>
      <c r="M301" s="7"/>
      <c r="N301" s="7"/>
      <c r="O301" s="7"/>
      <c r="P301" s="7"/>
      <c r="Q301" s="7"/>
      <c r="R301" s="7"/>
      <c r="S301" s="8">
        <f>IF(E301="","",SUM(L301:O301) + Q301 + R301)</f>
      </c>
      <c r="T301" s="8">
        <f>IF(E301="","",S301*0.0275)</f>
      </c>
      <c r="U301" s="8">
        <f>IF(E301="","",IF(S301&gt;0, MIN(S301*0.06, 6480), 0))</f>
      </c>
      <c r="V301" s="7"/>
      <c r="W301" s="7"/>
      <c r="X301" s="7"/>
      <c r="Y301" s="8">
        <f>IF(E301="","",S301*0.015)</f>
      </c>
      <c r="Z301" s="8">
        <f>IF(E301="","",MAX(0, S301 - T301 - U301 - V301 - W301 - X301 - Y301 - IF(J301="Yes", 150000, 0)))</f>
      </c>
      <c r="AA301" s="8">
        <f>IF(E301="","",IF(OR(L301&gt;0, E301&lt;&gt;""), 2400, 0))</f>
      </c>
      <c r="AB301" s="7"/>
      <c r="AC301" s="8">
        <f>IF(E301="","",MAX(0, MAX(0, Z301*0.1) + MAX(0, (Z301-24000)*0.15) + MAX(0, (Z301-32333)*0.05) + MAX(0, (Z301-500000)*0.025) + MAX(0, (Z301-800000)*0.025) - AA301 - AB301))</f>
      </c>
      <c r="AD301" s="8">
        <f>IF(E301="","",AC301)</f>
      </c>
    </row>
    <row r="302" spans="1:30" x14ac:dyDescent="0.25">
      <c r="A302" s="6"/>
      <c r="B302" s="6"/>
      <c r="C302" s="6"/>
      <c r="F302" s="6"/>
      <c r="G302" s="6"/>
      <c r="L302" s="7"/>
      <c r="M302" s="7"/>
      <c r="N302" s="7"/>
      <c r="O302" s="7"/>
      <c r="P302" s="7"/>
      <c r="Q302" s="7"/>
      <c r="R302" s="7"/>
      <c r="S302" s="8">
        <f>IF(E302="","",SUM(L302:O302) + Q302 + R302)</f>
      </c>
      <c r="T302" s="8">
        <f>IF(E302="","",S302*0.0275)</f>
      </c>
      <c r="U302" s="8">
        <f>IF(E302="","",IF(S302&gt;0, MIN(S302*0.06, 6480), 0))</f>
      </c>
      <c r="V302" s="7"/>
      <c r="W302" s="7"/>
      <c r="X302" s="7"/>
      <c r="Y302" s="8">
        <f>IF(E302="","",S302*0.015)</f>
      </c>
      <c r="Z302" s="8">
        <f>IF(E302="","",MAX(0, S302 - T302 - U302 - V302 - W302 - X302 - Y302 - IF(J302="Yes", 150000, 0)))</f>
      </c>
      <c r="AA302" s="8">
        <f>IF(E302="","",IF(OR(L302&gt;0, E302&lt;&gt;""), 2400, 0))</f>
      </c>
      <c r="AB302" s="7"/>
      <c r="AC302" s="8">
        <f>IF(E302="","",MAX(0, MAX(0, Z302*0.1) + MAX(0, (Z302-24000)*0.15) + MAX(0, (Z302-32333)*0.05) + MAX(0, (Z302-500000)*0.025) + MAX(0, (Z302-800000)*0.025) - AA302 - AB302))</f>
      </c>
      <c r="AD302" s="8">
        <f>IF(E302="","",AC302)</f>
      </c>
    </row>
    <row r="303" spans="1:30" x14ac:dyDescent="0.25">
      <c r="A303" s="6"/>
      <c r="B303" s="6"/>
      <c r="C303" s="6"/>
      <c r="F303" s="6"/>
      <c r="G303" s="6"/>
      <c r="L303" s="7"/>
      <c r="M303" s="7"/>
      <c r="N303" s="7"/>
      <c r="O303" s="7"/>
      <c r="P303" s="7"/>
      <c r="Q303" s="7"/>
      <c r="R303" s="7"/>
      <c r="S303" s="8">
        <f>IF(E303="","",SUM(L303:O303) + Q303 + R303)</f>
      </c>
      <c r="T303" s="8">
        <f>IF(E303="","",S303*0.0275)</f>
      </c>
      <c r="U303" s="8">
        <f>IF(E303="","",IF(S303&gt;0, MIN(S303*0.06, 6480), 0))</f>
      </c>
      <c r="V303" s="7"/>
      <c r="W303" s="7"/>
      <c r="X303" s="7"/>
      <c r="Y303" s="8">
        <f>IF(E303="","",S303*0.015)</f>
      </c>
      <c r="Z303" s="8">
        <f>IF(E303="","",MAX(0, S303 - T303 - U303 - V303 - W303 - X303 - Y303 - IF(J303="Yes", 150000, 0)))</f>
      </c>
      <c r="AA303" s="8">
        <f>IF(E303="","",IF(OR(L303&gt;0, E303&lt;&gt;""), 2400, 0))</f>
      </c>
      <c r="AB303" s="7"/>
      <c r="AC303" s="8">
        <f>IF(E303="","",MAX(0, MAX(0, Z303*0.1) + MAX(0, (Z303-24000)*0.15) + MAX(0, (Z303-32333)*0.05) + MAX(0, (Z303-500000)*0.025) + MAX(0, (Z303-800000)*0.025) - AA303 - AB303))</f>
      </c>
      <c r="AD303" s="8">
        <f>IF(E303="","",AC303)</f>
      </c>
    </row>
    <row r="304" spans="1:30" x14ac:dyDescent="0.25">
      <c r="A304" s="6"/>
      <c r="B304" s="6"/>
      <c r="C304" s="6"/>
      <c r="F304" s="6"/>
      <c r="G304" s="6"/>
      <c r="L304" s="7"/>
      <c r="M304" s="7"/>
      <c r="N304" s="7"/>
      <c r="O304" s="7"/>
      <c r="P304" s="7"/>
      <c r="Q304" s="7"/>
      <c r="R304" s="7"/>
      <c r="S304" s="8">
        <f>IF(E304="","",SUM(L304:O304) + Q304 + R304)</f>
      </c>
      <c r="T304" s="8">
        <f>IF(E304="","",S304*0.0275)</f>
      </c>
      <c r="U304" s="8">
        <f>IF(E304="","",IF(S304&gt;0, MIN(S304*0.06, 6480), 0))</f>
      </c>
      <c r="V304" s="7"/>
      <c r="W304" s="7"/>
      <c r="X304" s="7"/>
      <c r="Y304" s="8">
        <f>IF(E304="","",S304*0.015)</f>
      </c>
      <c r="Z304" s="8">
        <f>IF(E304="","",MAX(0, S304 - T304 - U304 - V304 - W304 - X304 - Y304 - IF(J304="Yes", 150000, 0)))</f>
      </c>
      <c r="AA304" s="8">
        <f>IF(E304="","",IF(OR(L304&gt;0, E304&lt;&gt;""), 2400, 0))</f>
      </c>
      <c r="AB304" s="7"/>
      <c r="AC304" s="8">
        <f>IF(E304="","",MAX(0, MAX(0, Z304*0.1) + MAX(0, (Z304-24000)*0.15) + MAX(0, (Z304-32333)*0.05) + MAX(0, (Z304-500000)*0.025) + MAX(0, (Z304-800000)*0.025) - AA304 - AB304))</f>
      </c>
      <c r="AD304" s="8">
        <f>IF(E304="","",AC304)</f>
      </c>
    </row>
    <row r="305" spans="1:30" x14ac:dyDescent="0.25">
      <c r="A305" s="6"/>
      <c r="B305" s="6"/>
      <c r="C305" s="6"/>
      <c r="F305" s="6"/>
      <c r="G305" s="6"/>
      <c r="L305" s="7"/>
      <c r="M305" s="7"/>
      <c r="N305" s="7"/>
      <c r="O305" s="7"/>
      <c r="P305" s="7"/>
      <c r="Q305" s="7"/>
      <c r="R305" s="7"/>
      <c r="S305" s="8">
        <f>IF(E305="","",SUM(L305:O305) + Q305 + R305)</f>
      </c>
      <c r="T305" s="8">
        <f>IF(E305="","",S305*0.0275)</f>
      </c>
      <c r="U305" s="8">
        <f>IF(E305="","",IF(S305&gt;0, MIN(S305*0.06, 6480), 0))</f>
      </c>
      <c r="V305" s="7"/>
      <c r="W305" s="7"/>
      <c r="X305" s="7"/>
      <c r="Y305" s="8">
        <f>IF(E305="","",S305*0.015)</f>
      </c>
      <c r="Z305" s="8">
        <f>IF(E305="","",MAX(0, S305 - T305 - U305 - V305 - W305 - X305 - Y305 - IF(J305="Yes", 150000, 0)))</f>
      </c>
      <c r="AA305" s="8">
        <f>IF(E305="","",IF(OR(L305&gt;0, E305&lt;&gt;""), 2400, 0))</f>
      </c>
      <c r="AB305" s="7"/>
      <c r="AC305" s="8">
        <f>IF(E305="","",MAX(0, MAX(0, Z305*0.1) + MAX(0, (Z305-24000)*0.15) + MAX(0, (Z305-32333)*0.05) + MAX(0, (Z305-500000)*0.025) + MAX(0, (Z305-800000)*0.025) - AA305 - AB305))</f>
      </c>
      <c r="AD305" s="8">
        <f>IF(E305="","",AC305)</f>
      </c>
    </row>
    <row r="306" spans="1:30" x14ac:dyDescent="0.25">
      <c r="A306" s="6"/>
      <c r="B306" s="6"/>
      <c r="C306" s="6"/>
      <c r="F306" s="6"/>
      <c r="G306" s="6"/>
      <c r="L306" s="7"/>
      <c r="M306" s="7"/>
      <c r="N306" s="7"/>
      <c r="O306" s="7"/>
      <c r="P306" s="7"/>
      <c r="Q306" s="7"/>
      <c r="R306" s="7"/>
      <c r="S306" s="8">
        <f>IF(E306="","",SUM(L306:O306) + Q306 + R306)</f>
      </c>
      <c r="T306" s="8">
        <f>IF(E306="","",S306*0.0275)</f>
      </c>
      <c r="U306" s="8">
        <f>IF(E306="","",IF(S306&gt;0, MIN(S306*0.06, 6480), 0))</f>
      </c>
      <c r="V306" s="7"/>
      <c r="W306" s="7"/>
      <c r="X306" s="7"/>
      <c r="Y306" s="8">
        <f>IF(E306="","",S306*0.015)</f>
      </c>
      <c r="Z306" s="8">
        <f>IF(E306="","",MAX(0, S306 - T306 - U306 - V306 - W306 - X306 - Y306 - IF(J306="Yes", 150000, 0)))</f>
      </c>
      <c r="AA306" s="8">
        <f>IF(E306="","",IF(OR(L306&gt;0, E306&lt;&gt;""), 2400, 0))</f>
      </c>
      <c r="AB306" s="7"/>
      <c r="AC306" s="8">
        <f>IF(E306="","",MAX(0, MAX(0, Z306*0.1) + MAX(0, (Z306-24000)*0.15) + MAX(0, (Z306-32333)*0.05) + MAX(0, (Z306-500000)*0.025) + MAX(0, (Z306-800000)*0.025) - AA306 - AB306))</f>
      </c>
      <c r="AD306" s="8">
        <f>IF(E306="","",AC306)</f>
      </c>
    </row>
    <row r="307" spans="1:30" x14ac:dyDescent="0.25">
      <c r="A307" s="6"/>
      <c r="B307" s="6"/>
      <c r="C307" s="6"/>
      <c r="F307" s="6"/>
      <c r="G307" s="6"/>
      <c r="L307" s="7"/>
      <c r="M307" s="7"/>
      <c r="N307" s="7"/>
      <c r="O307" s="7"/>
      <c r="P307" s="7"/>
      <c r="Q307" s="7"/>
      <c r="R307" s="7"/>
      <c r="S307" s="8">
        <f>IF(E307="","",SUM(L307:O307) + Q307 + R307)</f>
      </c>
      <c r="T307" s="8">
        <f>IF(E307="","",S307*0.0275)</f>
      </c>
      <c r="U307" s="8">
        <f>IF(E307="","",IF(S307&gt;0, MIN(S307*0.06, 6480), 0))</f>
      </c>
      <c r="V307" s="7"/>
      <c r="W307" s="7"/>
      <c r="X307" s="7"/>
      <c r="Y307" s="8">
        <f>IF(E307="","",S307*0.015)</f>
      </c>
      <c r="Z307" s="8">
        <f>IF(E307="","",MAX(0, S307 - T307 - U307 - V307 - W307 - X307 - Y307 - IF(J307="Yes", 150000, 0)))</f>
      </c>
      <c r="AA307" s="8">
        <f>IF(E307="","",IF(OR(L307&gt;0, E307&lt;&gt;""), 2400, 0))</f>
      </c>
      <c r="AB307" s="7"/>
      <c r="AC307" s="8">
        <f>IF(E307="","",MAX(0, MAX(0, Z307*0.1) + MAX(0, (Z307-24000)*0.15) + MAX(0, (Z307-32333)*0.05) + MAX(0, (Z307-500000)*0.025) + MAX(0, (Z307-800000)*0.025) - AA307 - AB307))</f>
      </c>
      <c r="AD307" s="8">
        <f>IF(E307="","",AC307)</f>
      </c>
    </row>
    <row r="308" spans="1:30" x14ac:dyDescent="0.25">
      <c r="A308" s="6"/>
      <c r="B308" s="6"/>
      <c r="C308" s="6"/>
      <c r="F308" s="6"/>
      <c r="G308" s="6"/>
      <c r="L308" s="7"/>
      <c r="M308" s="7"/>
      <c r="N308" s="7"/>
      <c r="O308" s="7"/>
      <c r="P308" s="7"/>
      <c r="Q308" s="7"/>
      <c r="R308" s="7"/>
      <c r="S308" s="8">
        <f>IF(E308="","",SUM(L308:O308) + Q308 + R308)</f>
      </c>
      <c r="T308" s="8">
        <f>IF(E308="","",S308*0.0275)</f>
      </c>
      <c r="U308" s="8">
        <f>IF(E308="","",IF(S308&gt;0, MIN(S308*0.06, 6480), 0))</f>
      </c>
      <c r="V308" s="7"/>
      <c r="W308" s="7"/>
      <c r="X308" s="7"/>
      <c r="Y308" s="8">
        <f>IF(E308="","",S308*0.015)</f>
      </c>
      <c r="Z308" s="8">
        <f>IF(E308="","",MAX(0, S308 - T308 - U308 - V308 - W308 - X308 - Y308 - IF(J308="Yes", 150000, 0)))</f>
      </c>
      <c r="AA308" s="8">
        <f>IF(E308="","",IF(OR(L308&gt;0, E308&lt;&gt;""), 2400, 0))</f>
      </c>
      <c r="AB308" s="7"/>
      <c r="AC308" s="8">
        <f>IF(E308="","",MAX(0, MAX(0, Z308*0.1) + MAX(0, (Z308-24000)*0.15) + MAX(0, (Z308-32333)*0.05) + MAX(0, (Z308-500000)*0.025) + MAX(0, (Z308-800000)*0.025) - AA308 - AB308))</f>
      </c>
      <c r="AD308" s="8">
        <f>IF(E308="","",AC308)</f>
      </c>
    </row>
    <row r="309" spans="1:30" x14ac:dyDescent="0.25">
      <c r="A309" s="6"/>
      <c r="B309" s="6"/>
      <c r="C309" s="6"/>
      <c r="F309" s="6"/>
      <c r="G309" s="6"/>
      <c r="L309" s="7"/>
      <c r="M309" s="7"/>
      <c r="N309" s="7"/>
      <c r="O309" s="7"/>
      <c r="P309" s="7"/>
      <c r="Q309" s="7"/>
      <c r="R309" s="7"/>
      <c r="S309" s="8">
        <f>IF(E309="","",SUM(L309:O309) + Q309 + R309)</f>
      </c>
      <c r="T309" s="8">
        <f>IF(E309="","",S309*0.0275)</f>
      </c>
      <c r="U309" s="8">
        <f>IF(E309="","",IF(S309&gt;0, MIN(S309*0.06, 6480), 0))</f>
      </c>
      <c r="V309" s="7"/>
      <c r="W309" s="7"/>
      <c r="X309" s="7"/>
      <c r="Y309" s="8">
        <f>IF(E309="","",S309*0.015)</f>
      </c>
      <c r="Z309" s="8">
        <f>IF(E309="","",MAX(0, S309 - T309 - U309 - V309 - W309 - X309 - Y309 - IF(J309="Yes", 150000, 0)))</f>
      </c>
      <c r="AA309" s="8">
        <f>IF(E309="","",IF(OR(L309&gt;0, E309&lt;&gt;""), 2400, 0))</f>
      </c>
      <c r="AB309" s="7"/>
      <c r="AC309" s="8">
        <f>IF(E309="","",MAX(0, MAX(0, Z309*0.1) + MAX(0, (Z309-24000)*0.15) + MAX(0, (Z309-32333)*0.05) + MAX(0, (Z309-500000)*0.025) + MAX(0, (Z309-800000)*0.025) - AA309 - AB309))</f>
      </c>
      <c r="AD309" s="8">
        <f>IF(E309="","",AC309)</f>
      </c>
    </row>
    <row r="310" spans="1:30" x14ac:dyDescent="0.25">
      <c r="A310" s="6"/>
      <c r="B310" s="6"/>
      <c r="C310" s="6"/>
      <c r="F310" s="6"/>
      <c r="G310" s="6"/>
      <c r="L310" s="7"/>
      <c r="M310" s="7"/>
      <c r="N310" s="7"/>
      <c r="O310" s="7"/>
      <c r="P310" s="7"/>
      <c r="Q310" s="7"/>
      <c r="R310" s="7"/>
      <c r="S310" s="8">
        <f>IF(E310="","",SUM(L310:O310) + Q310 + R310)</f>
      </c>
      <c r="T310" s="8">
        <f>IF(E310="","",S310*0.0275)</f>
      </c>
      <c r="U310" s="8">
        <f>IF(E310="","",IF(S310&gt;0, MIN(S310*0.06, 6480), 0))</f>
      </c>
      <c r="V310" s="7"/>
      <c r="W310" s="7"/>
      <c r="X310" s="7"/>
      <c r="Y310" s="8">
        <f>IF(E310="","",S310*0.015)</f>
      </c>
      <c r="Z310" s="8">
        <f>IF(E310="","",MAX(0, S310 - T310 - U310 - V310 - W310 - X310 - Y310 - IF(J310="Yes", 150000, 0)))</f>
      </c>
      <c r="AA310" s="8">
        <f>IF(E310="","",IF(OR(L310&gt;0, E310&lt;&gt;""), 2400, 0))</f>
      </c>
      <c r="AB310" s="7"/>
      <c r="AC310" s="8">
        <f>IF(E310="","",MAX(0, MAX(0, Z310*0.1) + MAX(0, (Z310-24000)*0.15) + MAX(0, (Z310-32333)*0.05) + MAX(0, (Z310-500000)*0.025) + MAX(0, (Z310-800000)*0.025) - AA310 - AB310))</f>
      </c>
      <c r="AD310" s="8">
        <f>IF(E310="","",AC310)</f>
      </c>
    </row>
    <row r="311" spans="1:30" x14ac:dyDescent="0.25">
      <c r="A311" s="6"/>
      <c r="B311" s="6"/>
      <c r="C311" s="6"/>
      <c r="F311" s="6"/>
      <c r="G311" s="6"/>
      <c r="L311" s="7"/>
      <c r="M311" s="7"/>
      <c r="N311" s="7"/>
      <c r="O311" s="7"/>
      <c r="P311" s="7"/>
      <c r="Q311" s="7"/>
      <c r="R311" s="7"/>
      <c r="S311" s="8">
        <f>IF(E311="","",SUM(L311:O311) + Q311 + R311)</f>
      </c>
      <c r="T311" s="8">
        <f>IF(E311="","",S311*0.0275)</f>
      </c>
      <c r="U311" s="8">
        <f>IF(E311="","",IF(S311&gt;0, MIN(S311*0.06, 6480), 0))</f>
      </c>
      <c r="V311" s="7"/>
      <c r="W311" s="7"/>
      <c r="X311" s="7"/>
      <c r="Y311" s="8">
        <f>IF(E311="","",S311*0.015)</f>
      </c>
      <c r="Z311" s="8">
        <f>IF(E311="","",MAX(0, S311 - T311 - U311 - V311 - W311 - X311 - Y311 - IF(J311="Yes", 150000, 0)))</f>
      </c>
      <c r="AA311" s="8">
        <f>IF(E311="","",IF(OR(L311&gt;0, E311&lt;&gt;""), 2400, 0))</f>
      </c>
      <c r="AB311" s="7"/>
      <c r="AC311" s="8">
        <f>IF(E311="","",MAX(0, MAX(0, Z311*0.1) + MAX(0, (Z311-24000)*0.15) + MAX(0, (Z311-32333)*0.05) + MAX(0, (Z311-500000)*0.025) + MAX(0, (Z311-800000)*0.025) - AA311 - AB311))</f>
      </c>
      <c r="AD311" s="8">
        <f>IF(E311="","",AC311)</f>
      </c>
    </row>
    <row r="312" spans="1:30" x14ac:dyDescent="0.25">
      <c r="A312" s="6"/>
      <c r="B312" s="6"/>
      <c r="C312" s="6"/>
      <c r="F312" s="6"/>
      <c r="G312" s="6"/>
      <c r="L312" s="7"/>
      <c r="M312" s="7"/>
      <c r="N312" s="7"/>
      <c r="O312" s="7"/>
      <c r="P312" s="7"/>
      <c r="Q312" s="7"/>
      <c r="R312" s="7"/>
      <c r="S312" s="8">
        <f>IF(E312="","",SUM(L312:O312) + Q312 + R312)</f>
      </c>
      <c r="T312" s="8">
        <f>IF(E312="","",S312*0.0275)</f>
      </c>
      <c r="U312" s="8">
        <f>IF(E312="","",IF(S312&gt;0, MIN(S312*0.06, 6480), 0))</f>
      </c>
      <c r="V312" s="7"/>
      <c r="W312" s="7"/>
      <c r="X312" s="7"/>
      <c r="Y312" s="8">
        <f>IF(E312="","",S312*0.015)</f>
      </c>
      <c r="Z312" s="8">
        <f>IF(E312="","",MAX(0, S312 - T312 - U312 - V312 - W312 - X312 - Y312 - IF(J312="Yes", 150000, 0)))</f>
      </c>
      <c r="AA312" s="8">
        <f>IF(E312="","",IF(OR(L312&gt;0, E312&lt;&gt;""), 2400, 0))</f>
      </c>
      <c r="AB312" s="7"/>
      <c r="AC312" s="8">
        <f>IF(E312="","",MAX(0, MAX(0, Z312*0.1) + MAX(0, (Z312-24000)*0.15) + MAX(0, (Z312-32333)*0.05) + MAX(0, (Z312-500000)*0.025) + MAX(0, (Z312-800000)*0.025) - AA312 - AB312))</f>
      </c>
      <c r="AD312" s="8">
        <f>IF(E312="","",AC312)</f>
      </c>
    </row>
    <row r="313" spans="1:30" x14ac:dyDescent="0.25">
      <c r="A313" s="6"/>
      <c r="B313" s="6"/>
      <c r="C313" s="6"/>
      <c r="F313" s="6"/>
      <c r="G313" s="6"/>
      <c r="L313" s="7"/>
      <c r="M313" s="7"/>
      <c r="N313" s="7"/>
      <c r="O313" s="7"/>
      <c r="P313" s="7"/>
      <c r="Q313" s="7"/>
      <c r="R313" s="7"/>
      <c r="S313" s="8">
        <f>IF(E313="","",SUM(L313:O313) + Q313 + R313)</f>
      </c>
      <c r="T313" s="8">
        <f>IF(E313="","",S313*0.0275)</f>
      </c>
      <c r="U313" s="8">
        <f>IF(E313="","",IF(S313&gt;0, MIN(S313*0.06, 6480), 0))</f>
      </c>
      <c r="V313" s="7"/>
      <c r="W313" s="7"/>
      <c r="X313" s="7"/>
      <c r="Y313" s="8">
        <f>IF(E313="","",S313*0.015)</f>
      </c>
      <c r="Z313" s="8">
        <f>IF(E313="","",MAX(0, S313 - T313 - U313 - V313 - W313 - X313 - Y313 - IF(J313="Yes", 150000, 0)))</f>
      </c>
      <c r="AA313" s="8">
        <f>IF(E313="","",IF(OR(L313&gt;0, E313&lt;&gt;""), 2400, 0))</f>
      </c>
      <c r="AB313" s="7"/>
      <c r="AC313" s="8">
        <f>IF(E313="","",MAX(0, MAX(0, Z313*0.1) + MAX(0, (Z313-24000)*0.15) + MAX(0, (Z313-32333)*0.05) + MAX(0, (Z313-500000)*0.025) + MAX(0, (Z313-800000)*0.025) - AA313 - AB313))</f>
      </c>
      <c r="AD313" s="8">
        <f>IF(E313="","",AC313)</f>
      </c>
    </row>
    <row r="314" spans="1:30" x14ac:dyDescent="0.25">
      <c r="A314" s="6"/>
      <c r="B314" s="6"/>
      <c r="C314" s="6"/>
      <c r="F314" s="6"/>
      <c r="G314" s="6"/>
      <c r="L314" s="7"/>
      <c r="M314" s="7"/>
      <c r="N314" s="7"/>
      <c r="O314" s="7"/>
      <c r="P314" s="7"/>
      <c r="Q314" s="7"/>
      <c r="R314" s="7"/>
      <c r="S314" s="8">
        <f>IF(E314="","",SUM(L314:O314) + Q314 + R314)</f>
      </c>
      <c r="T314" s="8">
        <f>IF(E314="","",S314*0.0275)</f>
      </c>
      <c r="U314" s="8">
        <f>IF(E314="","",IF(S314&gt;0, MIN(S314*0.06, 6480), 0))</f>
      </c>
      <c r="V314" s="7"/>
      <c r="W314" s="7"/>
      <c r="X314" s="7"/>
      <c r="Y314" s="8">
        <f>IF(E314="","",S314*0.015)</f>
      </c>
      <c r="Z314" s="8">
        <f>IF(E314="","",MAX(0, S314 - T314 - U314 - V314 - W314 - X314 - Y314 - IF(J314="Yes", 150000, 0)))</f>
      </c>
      <c r="AA314" s="8">
        <f>IF(E314="","",IF(OR(L314&gt;0, E314&lt;&gt;""), 2400, 0))</f>
      </c>
      <c r="AB314" s="7"/>
      <c r="AC314" s="8">
        <f>IF(E314="","",MAX(0, MAX(0, Z314*0.1) + MAX(0, (Z314-24000)*0.15) + MAX(0, (Z314-32333)*0.05) + MAX(0, (Z314-500000)*0.025) + MAX(0, (Z314-800000)*0.025) - AA314 - AB314))</f>
      </c>
      <c r="AD314" s="8">
        <f>IF(E314="","",AC314)</f>
      </c>
    </row>
    <row r="315" spans="1:30" x14ac:dyDescent="0.25">
      <c r="A315" s="6"/>
      <c r="B315" s="6"/>
      <c r="C315" s="6"/>
      <c r="F315" s="6"/>
      <c r="G315" s="6"/>
      <c r="L315" s="7"/>
      <c r="M315" s="7"/>
      <c r="N315" s="7"/>
      <c r="O315" s="7"/>
      <c r="P315" s="7"/>
      <c r="Q315" s="7"/>
      <c r="R315" s="7"/>
      <c r="S315" s="8">
        <f>IF(E315="","",SUM(L315:O315) + Q315 + R315)</f>
      </c>
      <c r="T315" s="8">
        <f>IF(E315="","",S315*0.0275)</f>
      </c>
      <c r="U315" s="8">
        <f>IF(E315="","",IF(S315&gt;0, MIN(S315*0.06, 6480), 0))</f>
      </c>
      <c r="V315" s="7"/>
      <c r="W315" s="7"/>
      <c r="X315" s="7"/>
      <c r="Y315" s="8">
        <f>IF(E315="","",S315*0.015)</f>
      </c>
      <c r="Z315" s="8">
        <f>IF(E315="","",MAX(0, S315 - T315 - U315 - V315 - W315 - X315 - Y315 - IF(J315="Yes", 150000, 0)))</f>
      </c>
      <c r="AA315" s="8">
        <f>IF(E315="","",IF(OR(L315&gt;0, E315&lt;&gt;""), 2400, 0))</f>
      </c>
      <c r="AB315" s="7"/>
      <c r="AC315" s="8">
        <f>IF(E315="","",MAX(0, MAX(0, Z315*0.1) + MAX(0, (Z315-24000)*0.15) + MAX(0, (Z315-32333)*0.05) + MAX(0, (Z315-500000)*0.025) + MAX(0, (Z315-800000)*0.025) - AA315 - AB315))</f>
      </c>
      <c r="AD315" s="8">
        <f>IF(E315="","",AC315)</f>
      </c>
    </row>
    <row r="316" spans="1:30" x14ac:dyDescent="0.25">
      <c r="A316" s="6"/>
      <c r="B316" s="6"/>
      <c r="C316" s="6"/>
      <c r="F316" s="6"/>
      <c r="G316" s="6"/>
      <c r="L316" s="7"/>
      <c r="M316" s="7"/>
      <c r="N316" s="7"/>
      <c r="O316" s="7"/>
      <c r="P316" s="7"/>
      <c r="Q316" s="7"/>
      <c r="R316" s="7"/>
      <c r="S316" s="8">
        <f>IF(E316="","",SUM(L316:O316) + Q316 + R316)</f>
      </c>
      <c r="T316" s="8">
        <f>IF(E316="","",S316*0.0275)</f>
      </c>
      <c r="U316" s="8">
        <f>IF(E316="","",IF(S316&gt;0, MIN(S316*0.06, 6480), 0))</f>
      </c>
      <c r="V316" s="7"/>
      <c r="W316" s="7"/>
      <c r="X316" s="7"/>
      <c r="Y316" s="8">
        <f>IF(E316="","",S316*0.015)</f>
      </c>
      <c r="Z316" s="8">
        <f>IF(E316="","",MAX(0, S316 - T316 - U316 - V316 - W316 - X316 - Y316 - IF(J316="Yes", 150000, 0)))</f>
      </c>
      <c r="AA316" s="8">
        <f>IF(E316="","",IF(OR(L316&gt;0, E316&lt;&gt;""), 2400, 0))</f>
      </c>
      <c r="AB316" s="7"/>
      <c r="AC316" s="8">
        <f>IF(E316="","",MAX(0, MAX(0, Z316*0.1) + MAX(0, (Z316-24000)*0.15) + MAX(0, (Z316-32333)*0.05) + MAX(0, (Z316-500000)*0.025) + MAX(0, (Z316-800000)*0.025) - AA316 - AB316))</f>
      </c>
      <c r="AD316" s="8">
        <f>IF(E316="","",AC316)</f>
      </c>
    </row>
    <row r="317" spans="1:30" x14ac:dyDescent="0.25">
      <c r="A317" s="6"/>
      <c r="B317" s="6"/>
      <c r="C317" s="6"/>
      <c r="F317" s="6"/>
      <c r="G317" s="6"/>
      <c r="L317" s="7"/>
      <c r="M317" s="7"/>
      <c r="N317" s="7"/>
      <c r="O317" s="7"/>
      <c r="P317" s="7"/>
      <c r="Q317" s="7"/>
      <c r="R317" s="7"/>
      <c r="S317" s="8">
        <f>IF(E317="","",SUM(L317:O317) + Q317 + R317)</f>
      </c>
      <c r="T317" s="8">
        <f>IF(E317="","",S317*0.0275)</f>
      </c>
      <c r="U317" s="8">
        <f>IF(E317="","",IF(S317&gt;0, MIN(S317*0.06, 6480), 0))</f>
      </c>
      <c r="V317" s="7"/>
      <c r="W317" s="7"/>
      <c r="X317" s="7"/>
      <c r="Y317" s="8">
        <f>IF(E317="","",S317*0.015)</f>
      </c>
      <c r="Z317" s="8">
        <f>IF(E317="","",MAX(0, S317 - T317 - U317 - V317 - W317 - X317 - Y317 - IF(J317="Yes", 150000, 0)))</f>
      </c>
      <c r="AA317" s="8">
        <f>IF(E317="","",IF(OR(L317&gt;0, E317&lt;&gt;""), 2400, 0))</f>
      </c>
      <c r="AB317" s="7"/>
      <c r="AC317" s="8">
        <f>IF(E317="","",MAX(0, MAX(0, Z317*0.1) + MAX(0, (Z317-24000)*0.15) + MAX(0, (Z317-32333)*0.05) + MAX(0, (Z317-500000)*0.025) + MAX(0, (Z317-800000)*0.025) - AA317 - AB317))</f>
      </c>
      <c r="AD317" s="8">
        <f>IF(E317="","",AC317)</f>
      </c>
    </row>
    <row r="318" spans="1:30" x14ac:dyDescent="0.25">
      <c r="A318" s="6"/>
      <c r="B318" s="6"/>
      <c r="C318" s="6"/>
      <c r="F318" s="6"/>
      <c r="G318" s="6"/>
      <c r="L318" s="7"/>
      <c r="M318" s="7"/>
      <c r="N318" s="7"/>
      <c r="O318" s="7"/>
      <c r="P318" s="7"/>
      <c r="Q318" s="7"/>
      <c r="R318" s="7"/>
      <c r="S318" s="8">
        <f>IF(E318="","",SUM(L318:O318) + Q318 + R318)</f>
      </c>
      <c r="T318" s="8">
        <f>IF(E318="","",S318*0.0275)</f>
      </c>
      <c r="U318" s="8">
        <f>IF(E318="","",IF(S318&gt;0, MIN(S318*0.06, 6480), 0))</f>
      </c>
      <c r="V318" s="7"/>
      <c r="W318" s="7"/>
      <c r="X318" s="7"/>
      <c r="Y318" s="8">
        <f>IF(E318="","",S318*0.015)</f>
      </c>
      <c r="Z318" s="8">
        <f>IF(E318="","",MAX(0, S318 - T318 - U318 - V318 - W318 - X318 - Y318 - IF(J318="Yes", 150000, 0)))</f>
      </c>
      <c r="AA318" s="8">
        <f>IF(E318="","",IF(OR(L318&gt;0, E318&lt;&gt;""), 2400, 0))</f>
      </c>
      <c r="AB318" s="7"/>
      <c r="AC318" s="8">
        <f>IF(E318="","",MAX(0, MAX(0, Z318*0.1) + MAX(0, (Z318-24000)*0.15) + MAX(0, (Z318-32333)*0.05) + MAX(0, (Z318-500000)*0.025) + MAX(0, (Z318-800000)*0.025) - AA318 - AB318))</f>
      </c>
      <c r="AD318" s="8">
        <f>IF(E318="","",AC318)</f>
      </c>
    </row>
    <row r="319" spans="1:30" x14ac:dyDescent="0.25">
      <c r="A319" s="6"/>
      <c r="B319" s="6"/>
      <c r="C319" s="6"/>
      <c r="F319" s="6"/>
      <c r="G319" s="6"/>
      <c r="L319" s="7"/>
      <c r="M319" s="7"/>
      <c r="N319" s="7"/>
      <c r="O319" s="7"/>
      <c r="P319" s="7"/>
      <c r="Q319" s="7"/>
      <c r="R319" s="7"/>
      <c r="S319" s="8">
        <f>IF(E319="","",SUM(L319:O319) + Q319 + R319)</f>
      </c>
      <c r="T319" s="8">
        <f>IF(E319="","",S319*0.0275)</f>
      </c>
      <c r="U319" s="8">
        <f>IF(E319="","",IF(S319&gt;0, MIN(S319*0.06, 6480), 0))</f>
      </c>
      <c r="V319" s="7"/>
      <c r="W319" s="7"/>
      <c r="X319" s="7"/>
      <c r="Y319" s="8">
        <f>IF(E319="","",S319*0.015)</f>
      </c>
      <c r="Z319" s="8">
        <f>IF(E319="","",MAX(0, S319 - T319 - U319 - V319 - W319 - X319 - Y319 - IF(J319="Yes", 150000, 0)))</f>
      </c>
      <c r="AA319" s="8">
        <f>IF(E319="","",IF(OR(L319&gt;0, E319&lt;&gt;""), 2400, 0))</f>
      </c>
      <c r="AB319" s="7"/>
      <c r="AC319" s="8">
        <f>IF(E319="","",MAX(0, MAX(0, Z319*0.1) + MAX(0, (Z319-24000)*0.15) + MAX(0, (Z319-32333)*0.05) + MAX(0, (Z319-500000)*0.025) + MAX(0, (Z319-800000)*0.025) - AA319 - AB319))</f>
      </c>
      <c r="AD319" s="8">
        <f>IF(E319="","",AC319)</f>
      </c>
    </row>
    <row r="320" spans="1:30" x14ac:dyDescent="0.25">
      <c r="A320" s="6"/>
      <c r="B320" s="6"/>
      <c r="C320" s="6"/>
      <c r="F320" s="6"/>
      <c r="G320" s="6"/>
      <c r="L320" s="7"/>
      <c r="M320" s="7"/>
      <c r="N320" s="7"/>
      <c r="O320" s="7"/>
      <c r="P320" s="7"/>
      <c r="Q320" s="7"/>
      <c r="R320" s="7"/>
      <c r="S320" s="8">
        <f>IF(E320="","",SUM(L320:O320) + Q320 + R320)</f>
      </c>
      <c r="T320" s="8">
        <f>IF(E320="","",S320*0.0275)</f>
      </c>
      <c r="U320" s="8">
        <f>IF(E320="","",IF(S320&gt;0, MIN(S320*0.06, 6480), 0))</f>
      </c>
      <c r="V320" s="7"/>
      <c r="W320" s="7"/>
      <c r="X320" s="7"/>
      <c r="Y320" s="8">
        <f>IF(E320="","",S320*0.015)</f>
      </c>
      <c r="Z320" s="8">
        <f>IF(E320="","",MAX(0, S320 - T320 - U320 - V320 - W320 - X320 - Y320 - IF(J320="Yes", 150000, 0)))</f>
      </c>
      <c r="AA320" s="8">
        <f>IF(E320="","",IF(OR(L320&gt;0, E320&lt;&gt;""), 2400, 0))</f>
      </c>
      <c r="AB320" s="7"/>
      <c r="AC320" s="8">
        <f>IF(E320="","",MAX(0, MAX(0, Z320*0.1) + MAX(0, (Z320-24000)*0.15) + MAX(0, (Z320-32333)*0.05) + MAX(0, (Z320-500000)*0.025) + MAX(0, (Z320-800000)*0.025) - AA320 - AB320))</f>
      </c>
      <c r="AD320" s="8">
        <f>IF(E320="","",AC320)</f>
      </c>
    </row>
    <row r="321" spans="1:30" x14ac:dyDescent="0.25">
      <c r="A321" s="6"/>
      <c r="B321" s="6"/>
      <c r="C321" s="6"/>
      <c r="F321" s="6"/>
      <c r="G321" s="6"/>
      <c r="L321" s="7"/>
      <c r="M321" s="7"/>
      <c r="N321" s="7"/>
      <c r="O321" s="7"/>
      <c r="P321" s="7"/>
      <c r="Q321" s="7"/>
      <c r="R321" s="7"/>
      <c r="S321" s="8">
        <f>IF(E321="","",SUM(L321:O321) + Q321 + R321)</f>
      </c>
      <c r="T321" s="8">
        <f>IF(E321="","",S321*0.0275)</f>
      </c>
      <c r="U321" s="8">
        <f>IF(E321="","",IF(S321&gt;0, MIN(S321*0.06, 6480), 0))</f>
      </c>
      <c r="V321" s="7"/>
      <c r="W321" s="7"/>
      <c r="X321" s="7"/>
      <c r="Y321" s="8">
        <f>IF(E321="","",S321*0.015)</f>
      </c>
      <c r="Z321" s="8">
        <f>IF(E321="","",MAX(0, S321 - T321 - U321 - V321 - W321 - X321 - Y321 - IF(J321="Yes", 150000, 0)))</f>
      </c>
      <c r="AA321" s="8">
        <f>IF(E321="","",IF(OR(L321&gt;0, E321&lt;&gt;""), 2400, 0))</f>
      </c>
      <c r="AB321" s="7"/>
      <c r="AC321" s="8">
        <f>IF(E321="","",MAX(0, MAX(0, Z321*0.1) + MAX(0, (Z321-24000)*0.15) + MAX(0, (Z321-32333)*0.05) + MAX(0, (Z321-500000)*0.025) + MAX(0, (Z321-800000)*0.025) - AA321 - AB321))</f>
      </c>
      <c r="AD321" s="8">
        <f>IF(E321="","",AC321)</f>
      </c>
    </row>
    <row r="322" spans="1:30" x14ac:dyDescent="0.25">
      <c r="A322" s="6"/>
      <c r="B322" s="6"/>
      <c r="C322" s="6"/>
      <c r="F322" s="6"/>
      <c r="G322" s="6"/>
      <c r="L322" s="7"/>
      <c r="M322" s="7"/>
      <c r="N322" s="7"/>
      <c r="O322" s="7"/>
      <c r="P322" s="7"/>
      <c r="Q322" s="7"/>
      <c r="R322" s="7"/>
      <c r="S322" s="8">
        <f>IF(E322="","",SUM(L322:O322) + Q322 + R322)</f>
      </c>
      <c r="T322" s="8">
        <f>IF(E322="","",S322*0.0275)</f>
      </c>
      <c r="U322" s="8">
        <f>IF(E322="","",IF(S322&gt;0, MIN(S322*0.06, 6480), 0))</f>
      </c>
      <c r="V322" s="7"/>
      <c r="W322" s="7"/>
      <c r="X322" s="7"/>
      <c r="Y322" s="8">
        <f>IF(E322="","",S322*0.015)</f>
      </c>
      <c r="Z322" s="8">
        <f>IF(E322="","",MAX(0, S322 - T322 - U322 - V322 - W322 - X322 - Y322 - IF(J322="Yes", 150000, 0)))</f>
      </c>
      <c r="AA322" s="8">
        <f>IF(E322="","",IF(OR(L322&gt;0, E322&lt;&gt;""), 2400, 0))</f>
      </c>
      <c r="AB322" s="7"/>
      <c r="AC322" s="8">
        <f>IF(E322="","",MAX(0, MAX(0, Z322*0.1) + MAX(0, (Z322-24000)*0.15) + MAX(0, (Z322-32333)*0.05) + MAX(0, (Z322-500000)*0.025) + MAX(0, (Z322-800000)*0.025) - AA322 - AB322))</f>
      </c>
      <c r="AD322" s="8">
        <f>IF(E322="","",AC322)</f>
      </c>
    </row>
    <row r="323" spans="1:30" x14ac:dyDescent="0.25">
      <c r="A323" s="6"/>
      <c r="B323" s="6"/>
      <c r="C323" s="6"/>
      <c r="F323" s="6"/>
      <c r="G323" s="6"/>
      <c r="L323" s="7"/>
      <c r="M323" s="7"/>
      <c r="N323" s="7"/>
      <c r="O323" s="7"/>
      <c r="P323" s="7"/>
      <c r="Q323" s="7"/>
      <c r="R323" s="7"/>
      <c r="S323" s="8">
        <f>IF(E323="","",SUM(L323:O323) + Q323 + R323)</f>
      </c>
      <c r="T323" s="8">
        <f>IF(E323="","",S323*0.0275)</f>
      </c>
      <c r="U323" s="8">
        <f>IF(E323="","",IF(S323&gt;0, MIN(S323*0.06, 6480), 0))</f>
      </c>
      <c r="V323" s="7"/>
      <c r="W323" s="7"/>
      <c r="X323" s="7"/>
      <c r="Y323" s="8">
        <f>IF(E323="","",S323*0.015)</f>
      </c>
      <c r="Z323" s="8">
        <f>IF(E323="","",MAX(0, S323 - T323 - U323 - V323 - W323 - X323 - Y323 - IF(J323="Yes", 150000, 0)))</f>
      </c>
      <c r="AA323" s="8">
        <f>IF(E323="","",IF(OR(L323&gt;0, E323&lt;&gt;""), 2400, 0))</f>
      </c>
      <c r="AB323" s="7"/>
      <c r="AC323" s="8">
        <f>IF(E323="","",MAX(0, MAX(0, Z323*0.1) + MAX(0, (Z323-24000)*0.15) + MAX(0, (Z323-32333)*0.05) + MAX(0, (Z323-500000)*0.025) + MAX(0, (Z323-800000)*0.025) - AA323 - AB323))</f>
      </c>
      <c r="AD323" s="8">
        <f>IF(E323="","",AC323)</f>
      </c>
    </row>
    <row r="324" spans="1:30" x14ac:dyDescent="0.25">
      <c r="A324" s="6"/>
      <c r="B324" s="6"/>
      <c r="C324" s="6"/>
      <c r="F324" s="6"/>
      <c r="G324" s="6"/>
      <c r="L324" s="7"/>
      <c r="M324" s="7"/>
      <c r="N324" s="7"/>
      <c r="O324" s="7"/>
      <c r="P324" s="7"/>
      <c r="Q324" s="7"/>
      <c r="R324" s="7"/>
      <c r="S324" s="8">
        <f>IF(E324="","",SUM(L324:O324) + Q324 + R324)</f>
      </c>
      <c r="T324" s="8">
        <f>IF(E324="","",S324*0.0275)</f>
      </c>
      <c r="U324" s="8">
        <f>IF(E324="","",IF(S324&gt;0, MIN(S324*0.06, 6480), 0))</f>
      </c>
      <c r="V324" s="7"/>
      <c r="W324" s="7"/>
      <c r="X324" s="7"/>
      <c r="Y324" s="8">
        <f>IF(E324="","",S324*0.015)</f>
      </c>
      <c r="Z324" s="8">
        <f>IF(E324="","",MAX(0, S324 - T324 - U324 - V324 - W324 - X324 - Y324 - IF(J324="Yes", 150000, 0)))</f>
      </c>
      <c r="AA324" s="8">
        <f>IF(E324="","",IF(OR(L324&gt;0, E324&lt;&gt;""), 2400, 0))</f>
      </c>
      <c r="AB324" s="7"/>
      <c r="AC324" s="8">
        <f>IF(E324="","",MAX(0, MAX(0, Z324*0.1) + MAX(0, (Z324-24000)*0.15) + MAX(0, (Z324-32333)*0.05) + MAX(0, (Z324-500000)*0.025) + MAX(0, (Z324-800000)*0.025) - AA324 - AB324))</f>
      </c>
      <c r="AD324" s="8">
        <f>IF(E324="","",AC324)</f>
      </c>
    </row>
    <row r="325" spans="1:30" x14ac:dyDescent="0.25">
      <c r="A325" s="6"/>
      <c r="B325" s="6"/>
      <c r="C325" s="6"/>
      <c r="F325" s="6"/>
      <c r="G325" s="6"/>
      <c r="L325" s="7"/>
      <c r="M325" s="7"/>
      <c r="N325" s="7"/>
      <c r="O325" s="7"/>
      <c r="P325" s="7"/>
      <c r="Q325" s="7"/>
      <c r="R325" s="7"/>
      <c r="S325" s="8">
        <f>IF(E325="","",SUM(L325:O325) + Q325 + R325)</f>
      </c>
      <c r="T325" s="8">
        <f>IF(E325="","",S325*0.0275)</f>
      </c>
      <c r="U325" s="8">
        <f>IF(E325="","",IF(S325&gt;0, MIN(S325*0.06, 6480), 0))</f>
      </c>
      <c r="V325" s="7"/>
      <c r="W325" s="7"/>
      <c r="X325" s="7"/>
      <c r="Y325" s="8">
        <f>IF(E325="","",S325*0.015)</f>
      </c>
      <c r="Z325" s="8">
        <f>IF(E325="","",MAX(0, S325 - T325 - U325 - V325 - W325 - X325 - Y325 - IF(J325="Yes", 150000, 0)))</f>
      </c>
      <c r="AA325" s="8">
        <f>IF(E325="","",IF(OR(L325&gt;0, E325&lt;&gt;""), 2400, 0))</f>
      </c>
      <c r="AB325" s="7"/>
      <c r="AC325" s="8">
        <f>IF(E325="","",MAX(0, MAX(0, Z325*0.1) + MAX(0, (Z325-24000)*0.15) + MAX(0, (Z325-32333)*0.05) + MAX(0, (Z325-500000)*0.025) + MAX(0, (Z325-800000)*0.025) - AA325 - AB325))</f>
      </c>
      <c r="AD325" s="8">
        <f>IF(E325="","",AC325)</f>
      </c>
    </row>
    <row r="326" spans="1:30" x14ac:dyDescent="0.25">
      <c r="A326" s="6"/>
      <c r="B326" s="6"/>
      <c r="C326" s="6"/>
      <c r="F326" s="6"/>
      <c r="G326" s="6"/>
      <c r="L326" s="7"/>
      <c r="M326" s="7"/>
      <c r="N326" s="7"/>
      <c r="O326" s="7"/>
      <c r="P326" s="7"/>
      <c r="Q326" s="7"/>
      <c r="R326" s="7"/>
      <c r="S326" s="8">
        <f>IF(E326="","",SUM(L326:O326) + Q326 + R326)</f>
      </c>
      <c r="T326" s="8">
        <f>IF(E326="","",S326*0.0275)</f>
      </c>
      <c r="U326" s="8">
        <f>IF(E326="","",IF(S326&gt;0, MIN(S326*0.06, 6480), 0))</f>
      </c>
      <c r="V326" s="7"/>
      <c r="W326" s="7"/>
      <c r="X326" s="7"/>
      <c r="Y326" s="8">
        <f>IF(E326="","",S326*0.015)</f>
      </c>
      <c r="Z326" s="8">
        <f>IF(E326="","",MAX(0, S326 - T326 - U326 - V326 - W326 - X326 - Y326 - IF(J326="Yes", 150000, 0)))</f>
      </c>
      <c r="AA326" s="8">
        <f>IF(E326="","",IF(OR(L326&gt;0, E326&lt;&gt;""), 2400, 0))</f>
      </c>
      <c r="AB326" s="7"/>
      <c r="AC326" s="8">
        <f>IF(E326="","",MAX(0, MAX(0, Z326*0.1) + MAX(0, (Z326-24000)*0.15) + MAX(0, (Z326-32333)*0.05) + MAX(0, (Z326-500000)*0.025) + MAX(0, (Z326-800000)*0.025) - AA326 - AB326))</f>
      </c>
      <c r="AD326" s="8">
        <f>IF(E326="","",AC326)</f>
      </c>
    </row>
    <row r="327" spans="1:30" x14ac:dyDescent="0.25">
      <c r="A327" s="6"/>
      <c r="B327" s="6"/>
      <c r="C327" s="6"/>
      <c r="F327" s="6"/>
      <c r="G327" s="6"/>
      <c r="L327" s="7"/>
      <c r="M327" s="7"/>
      <c r="N327" s="7"/>
      <c r="O327" s="7"/>
      <c r="P327" s="7"/>
      <c r="Q327" s="7"/>
      <c r="R327" s="7"/>
      <c r="S327" s="8">
        <f>IF(E327="","",SUM(L327:O327) + Q327 + R327)</f>
      </c>
      <c r="T327" s="8">
        <f>IF(E327="","",S327*0.0275)</f>
      </c>
      <c r="U327" s="8">
        <f>IF(E327="","",IF(S327&gt;0, MIN(S327*0.06, 6480), 0))</f>
      </c>
      <c r="V327" s="7"/>
      <c r="W327" s="7"/>
      <c r="X327" s="7"/>
      <c r="Y327" s="8">
        <f>IF(E327="","",S327*0.015)</f>
      </c>
      <c r="Z327" s="8">
        <f>IF(E327="","",MAX(0, S327 - T327 - U327 - V327 - W327 - X327 - Y327 - IF(J327="Yes", 150000, 0)))</f>
      </c>
      <c r="AA327" s="8">
        <f>IF(E327="","",IF(OR(L327&gt;0, E327&lt;&gt;""), 2400, 0))</f>
      </c>
      <c r="AB327" s="7"/>
      <c r="AC327" s="8">
        <f>IF(E327="","",MAX(0, MAX(0, Z327*0.1) + MAX(0, (Z327-24000)*0.15) + MAX(0, (Z327-32333)*0.05) + MAX(0, (Z327-500000)*0.025) + MAX(0, (Z327-800000)*0.025) - AA327 - AB327))</f>
      </c>
      <c r="AD327" s="8">
        <f>IF(E327="","",AC327)</f>
      </c>
    </row>
    <row r="328" spans="1:30" x14ac:dyDescent="0.25">
      <c r="A328" s="6"/>
      <c r="B328" s="6"/>
      <c r="C328" s="6"/>
      <c r="F328" s="6"/>
      <c r="G328" s="6"/>
      <c r="L328" s="7"/>
      <c r="M328" s="7"/>
      <c r="N328" s="7"/>
      <c r="O328" s="7"/>
      <c r="P328" s="7"/>
      <c r="Q328" s="7"/>
      <c r="R328" s="7"/>
      <c r="S328" s="8">
        <f>IF(E328="","",SUM(L328:O328) + Q328 + R328)</f>
      </c>
      <c r="T328" s="8">
        <f>IF(E328="","",S328*0.0275)</f>
      </c>
      <c r="U328" s="8">
        <f>IF(E328="","",IF(S328&gt;0, MIN(S328*0.06, 6480), 0))</f>
      </c>
      <c r="V328" s="7"/>
      <c r="W328" s="7"/>
      <c r="X328" s="7"/>
      <c r="Y328" s="8">
        <f>IF(E328="","",S328*0.015)</f>
      </c>
      <c r="Z328" s="8">
        <f>IF(E328="","",MAX(0, S328 - T328 - U328 - V328 - W328 - X328 - Y328 - IF(J328="Yes", 150000, 0)))</f>
      </c>
      <c r="AA328" s="8">
        <f>IF(E328="","",IF(OR(L328&gt;0, E328&lt;&gt;""), 2400, 0))</f>
      </c>
      <c r="AB328" s="7"/>
      <c r="AC328" s="8">
        <f>IF(E328="","",MAX(0, MAX(0, Z328*0.1) + MAX(0, (Z328-24000)*0.15) + MAX(0, (Z328-32333)*0.05) + MAX(0, (Z328-500000)*0.025) + MAX(0, (Z328-800000)*0.025) - AA328 - AB328))</f>
      </c>
      <c r="AD328" s="8">
        <f>IF(E328="","",AC328)</f>
      </c>
    </row>
    <row r="329" spans="1:30" x14ac:dyDescent="0.25">
      <c r="A329" s="6"/>
      <c r="B329" s="6"/>
      <c r="C329" s="6"/>
      <c r="F329" s="6"/>
      <c r="G329" s="6"/>
      <c r="L329" s="7"/>
      <c r="M329" s="7"/>
      <c r="N329" s="7"/>
      <c r="O329" s="7"/>
      <c r="P329" s="7"/>
      <c r="Q329" s="7"/>
      <c r="R329" s="7"/>
      <c r="S329" s="8">
        <f>IF(E329="","",SUM(L329:O329) + Q329 + R329)</f>
      </c>
      <c r="T329" s="8">
        <f>IF(E329="","",S329*0.0275)</f>
      </c>
      <c r="U329" s="8">
        <f>IF(E329="","",IF(S329&gt;0, MIN(S329*0.06, 6480), 0))</f>
      </c>
      <c r="V329" s="7"/>
      <c r="W329" s="7"/>
      <c r="X329" s="7"/>
      <c r="Y329" s="8">
        <f>IF(E329="","",S329*0.015)</f>
      </c>
      <c r="Z329" s="8">
        <f>IF(E329="","",MAX(0, S329 - T329 - U329 - V329 - W329 - X329 - Y329 - IF(J329="Yes", 150000, 0)))</f>
      </c>
      <c r="AA329" s="8">
        <f>IF(E329="","",IF(OR(L329&gt;0, E329&lt;&gt;""), 2400, 0))</f>
      </c>
      <c r="AB329" s="7"/>
      <c r="AC329" s="8">
        <f>IF(E329="","",MAX(0, MAX(0, Z329*0.1) + MAX(0, (Z329-24000)*0.15) + MAX(0, (Z329-32333)*0.05) + MAX(0, (Z329-500000)*0.025) + MAX(0, (Z329-800000)*0.025) - AA329 - AB329))</f>
      </c>
      <c r="AD329" s="8">
        <f>IF(E329="","",AC329)</f>
      </c>
    </row>
    <row r="330" spans="1:30" x14ac:dyDescent="0.25">
      <c r="A330" s="6"/>
      <c r="B330" s="6"/>
      <c r="C330" s="6"/>
      <c r="F330" s="6"/>
      <c r="G330" s="6"/>
      <c r="L330" s="7"/>
      <c r="M330" s="7"/>
      <c r="N330" s="7"/>
      <c r="O330" s="7"/>
      <c r="P330" s="7"/>
      <c r="Q330" s="7"/>
      <c r="R330" s="7"/>
      <c r="S330" s="8">
        <f>IF(E330="","",SUM(L330:O330) + Q330 + R330)</f>
      </c>
      <c r="T330" s="8">
        <f>IF(E330="","",S330*0.0275)</f>
      </c>
      <c r="U330" s="8">
        <f>IF(E330="","",IF(S330&gt;0, MIN(S330*0.06, 6480), 0))</f>
      </c>
      <c r="V330" s="7"/>
      <c r="W330" s="7"/>
      <c r="X330" s="7"/>
      <c r="Y330" s="8">
        <f>IF(E330="","",S330*0.015)</f>
      </c>
      <c r="Z330" s="8">
        <f>IF(E330="","",MAX(0, S330 - T330 - U330 - V330 - W330 - X330 - Y330 - IF(J330="Yes", 150000, 0)))</f>
      </c>
      <c r="AA330" s="8">
        <f>IF(E330="","",IF(OR(L330&gt;0, E330&lt;&gt;""), 2400, 0))</f>
      </c>
      <c r="AB330" s="7"/>
      <c r="AC330" s="8">
        <f>IF(E330="","",MAX(0, MAX(0, Z330*0.1) + MAX(0, (Z330-24000)*0.15) + MAX(0, (Z330-32333)*0.05) + MAX(0, (Z330-500000)*0.025) + MAX(0, (Z330-800000)*0.025) - AA330 - AB330))</f>
      </c>
      <c r="AD330" s="8">
        <f>IF(E330="","",AC330)</f>
      </c>
    </row>
    <row r="331" spans="1:30" x14ac:dyDescent="0.25">
      <c r="A331" s="6"/>
      <c r="B331" s="6"/>
      <c r="C331" s="6"/>
      <c r="F331" s="6"/>
      <c r="G331" s="6"/>
      <c r="L331" s="7"/>
      <c r="M331" s="7"/>
      <c r="N331" s="7"/>
      <c r="O331" s="7"/>
      <c r="P331" s="7"/>
      <c r="Q331" s="7"/>
      <c r="R331" s="7"/>
      <c r="S331" s="8">
        <f>IF(E331="","",SUM(L331:O331) + Q331 + R331)</f>
      </c>
      <c r="T331" s="8">
        <f>IF(E331="","",S331*0.0275)</f>
      </c>
      <c r="U331" s="8">
        <f>IF(E331="","",IF(S331&gt;0, MIN(S331*0.06, 6480), 0))</f>
      </c>
      <c r="V331" s="7"/>
      <c r="W331" s="7"/>
      <c r="X331" s="7"/>
      <c r="Y331" s="8">
        <f>IF(E331="","",S331*0.015)</f>
      </c>
      <c r="Z331" s="8">
        <f>IF(E331="","",MAX(0, S331 - T331 - U331 - V331 - W331 - X331 - Y331 - IF(J331="Yes", 150000, 0)))</f>
      </c>
      <c r="AA331" s="8">
        <f>IF(E331="","",IF(OR(L331&gt;0, E331&lt;&gt;""), 2400, 0))</f>
      </c>
      <c r="AB331" s="7"/>
      <c r="AC331" s="8">
        <f>IF(E331="","",MAX(0, MAX(0, Z331*0.1) + MAX(0, (Z331-24000)*0.15) + MAX(0, (Z331-32333)*0.05) + MAX(0, (Z331-500000)*0.025) + MAX(0, (Z331-800000)*0.025) - AA331 - AB331))</f>
      </c>
      <c r="AD331" s="8">
        <f>IF(E331="","",AC331)</f>
      </c>
    </row>
    <row r="332" spans="1:30" x14ac:dyDescent="0.25">
      <c r="A332" s="6"/>
      <c r="B332" s="6"/>
      <c r="C332" s="6"/>
      <c r="F332" s="6"/>
      <c r="G332" s="6"/>
      <c r="L332" s="7"/>
      <c r="M332" s="7"/>
      <c r="N332" s="7"/>
      <c r="O332" s="7"/>
      <c r="P332" s="7"/>
      <c r="Q332" s="7"/>
      <c r="R332" s="7"/>
      <c r="S332" s="8">
        <f>IF(E332="","",SUM(L332:O332) + Q332 + R332)</f>
      </c>
      <c r="T332" s="8">
        <f>IF(E332="","",S332*0.0275)</f>
      </c>
      <c r="U332" s="8">
        <f>IF(E332="","",IF(S332&gt;0, MIN(S332*0.06, 6480), 0))</f>
      </c>
      <c r="V332" s="7"/>
      <c r="W332" s="7"/>
      <c r="X332" s="7"/>
      <c r="Y332" s="8">
        <f>IF(E332="","",S332*0.015)</f>
      </c>
      <c r="Z332" s="8">
        <f>IF(E332="","",MAX(0, S332 - T332 - U332 - V332 - W332 - X332 - Y332 - IF(J332="Yes", 150000, 0)))</f>
      </c>
      <c r="AA332" s="8">
        <f>IF(E332="","",IF(OR(L332&gt;0, E332&lt;&gt;""), 2400, 0))</f>
      </c>
      <c r="AB332" s="7"/>
      <c r="AC332" s="8">
        <f>IF(E332="","",MAX(0, MAX(0, Z332*0.1) + MAX(0, (Z332-24000)*0.15) + MAX(0, (Z332-32333)*0.05) + MAX(0, (Z332-500000)*0.025) + MAX(0, (Z332-800000)*0.025) - AA332 - AB332))</f>
      </c>
      <c r="AD332" s="8">
        <f>IF(E332="","",AC332)</f>
      </c>
    </row>
    <row r="333" spans="1:30" x14ac:dyDescent="0.25">
      <c r="A333" s="6"/>
      <c r="B333" s="6"/>
      <c r="C333" s="6"/>
      <c r="F333" s="6"/>
      <c r="G333" s="6"/>
      <c r="L333" s="7"/>
      <c r="M333" s="7"/>
      <c r="N333" s="7"/>
      <c r="O333" s="7"/>
      <c r="P333" s="7"/>
      <c r="Q333" s="7"/>
      <c r="R333" s="7"/>
      <c r="S333" s="8">
        <f>IF(E333="","",SUM(L333:O333) + Q333 + R333)</f>
      </c>
      <c r="T333" s="8">
        <f>IF(E333="","",S333*0.0275)</f>
      </c>
      <c r="U333" s="8">
        <f>IF(E333="","",IF(S333&gt;0, MIN(S333*0.06, 6480), 0))</f>
      </c>
      <c r="V333" s="7"/>
      <c r="W333" s="7"/>
      <c r="X333" s="7"/>
      <c r="Y333" s="8">
        <f>IF(E333="","",S333*0.015)</f>
      </c>
      <c r="Z333" s="8">
        <f>IF(E333="","",MAX(0, S333 - T333 - U333 - V333 - W333 - X333 - Y333 - IF(J333="Yes", 150000, 0)))</f>
      </c>
      <c r="AA333" s="8">
        <f>IF(E333="","",IF(OR(L333&gt;0, E333&lt;&gt;""), 2400, 0))</f>
      </c>
      <c r="AB333" s="7"/>
      <c r="AC333" s="8">
        <f>IF(E333="","",MAX(0, MAX(0, Z333*0.1) + MAX(0, (Z333-24000)*0.15) + MAX(0, (Z333-32333)*0.05) + MAX(0, (Z333-500000)*0.025) + MAX(0, (Z333-800000)*0.025) - AA333 - AB333))</f>
      </c>
      <c r="AD333" s="8">
        <f>IF(E333="","",AC333)</f>
      </c>
    </row>
    <row r="334" spans="1:30" x14ac:dyDescent="0.25">
      <c r="A334" s="6"/>
      <c r="B334" s="6"/>
      <c r="C334" s="6"/>
      <c r="F334" s="6"/>
      <c r="G334" s="6"/>
      <c r="L334" s="7"/>
      <c r="M334" s="7"/>
      <c r="N334" s="7"/>
      <c r="O334" s="7"/>
      <c r="P334" s="7"/>
      <c r="Q334" s="7"/>
      <c r="R334" s="7"/>
      <c r="S334" s="8">
        <f>IF(E334="","",SUM(L334:O334) + Q334 + R334)</f>
      </c>
      <c r="T334" s="8">
        <f>IF(E334="","",S334*0.0275)</f>
      </c>
      <c r="U334" s="8">
        <f>IF(E334="","",IF(S334&gt;0, MIN(S334*0.06, 6480), 0))</f>
      </c>
      <c r="V334" s="7"/>
      <c r="W334" s="7"/>
      <c r="X334" s="7"/>
      <c r="Y334" s="8">
        <f>IF(E334="","",S334*0.015)</f>
      </c>
      <c r="Z334" s="8">
        <f>IF(E334="","",MAX(0, S334 - T334 - U334 - V334 - W334 - X334 - Y334 - IF(J334="Yes", 150000, 0)))</f>
      </c>
      <c r="AA334" s="8">
        <f>IF(E334="","",IF(OR(L334&gt;0, E334&lt;&gt;""), 2400, 0))</f>
      </c>
      <c r="AB334" s="7"/>
      <c r="AC334" s="8">
        <f>IF(E334="","",MAX(0, MAX(0, Z334*0.1) + MAX(0, (Z334-24000)*0.15) + MAX(0, (Z334-32333)*0.05) + MAX(0, (Z334-500000)*0.025) + MAX(0, (Z334-800000)*0.025) - AA334 - AB334))</f>
      </c>
      <c r="AD334" s="8">
        <f>IF(E334="","",AC334)</f>
      </c>
    </row>
    <row r="335" spans="1:30" x14ac:dyDescent="0.25">
      <c r="A335" s="6"/>
      <c r="B335" s="6"/>
      <c r="C335" s="6"/>
      <c r="F335" s="6"/>
      <c r="G335" s="6"/>
      <c r="L335" s="7"/>
      <c r="M335" s="7"/>
      <c r="N335" s="7"/>
      <c r="O335" s="7"/>
      <c r="P335" s="7"/>
      <c r="Q335" s="7"/>
      <c r="R335" s="7"/>
      <c r="S335" s="8">
        <f>IF(E335="","",SUM(L335:O335) + Q335 + R335)</f>
      </c>
      <c r="T335" s="8">
        <f>IF(E335="","",S335*0.0275)</f>
      </c>
      <c r="U335" s="8">
        <f>IF(E335="","",IF(S335&gt;0, MIN(S335*0.06, 6480), 0))</f>
      </c>
      <c r="V335" s="7"/>
      <c r="W335" s="7"/>
      <c r="X335" s="7"/>
      <c r="Y335" s="8">
        <f>IF(E335="","",S335*0.015)</f>
      </c>
      <c r="Z335" s="8">
        <f>IF(E335="","",MAX(0, S335 - T335 - U335 - V335 - W335 - X335 - Y335 - IF(J335="Yes", 150000, 0)))</f>
      </c>
      <c r="AA335" s="8">
        <f>IF(E335="","",IF(OR(L335&gt;0, E335&lt;&gt;""), 2400, 0))</f>
      </c>
      <c r="AB335" s="7"/>
      <c r="AC335" s="8">
        <f>IF(E335="","",MAX(0, MAX(0, Z335*0.1) + MAX(0, (Z335-24000)*0.15) + MAX(0, (Z335-32333)*0.05) + MAX(0, (Z335-500000)*0.025) + MAX(0, (Z335-800000)*0.025) - AA335 - AB335))</f>
      </c>
      <c r="AD335" s="8">
        <f>IF(E335="","",AC335)</f>
      </c>
    </row>
    <row r="336" spans="1:30" x14ac:dyDescent="0.25">
      <c r="A336" s="6"/>
      <c r="B336" s="6"/>
      <c r="C336" s="6"/>
      <c r="F336" s="6"/>
      <c r="G336" s="6"/>
      <c r="L336" s="7"/>
      <c r="M336" s="7"/>
      <c r="N336" s="7"/>
      <c r="O336" s="7"/>
      <c r="P336" s="7"/>
      <c r="Q336" s="7"/>
      <c r="R336" s="7"/>
      <c r="S336" s="8">
        <f>IF(E336="","",SUM(L336:O336) + Q336 + R336)</f>
      </c>
      <c r="T336" s="8">
        <f>IF(E336="","",S336*0.0275)</f>
      </c>
      <c r="U336" s="8">
        <f>IF(E336="","",IF(S336&gt;0, MIN(S336*0.06, 6480), 0))</f>
      </c>
      <c r="V336" s="7"/>
      <c r="W336" s="7"/>
      <c r="X336" s="7"/>
      <c r="Y336" s="8">
        <f>IF(E336="","",S336*0.015)</f>
      </c>
      <c r="Z336" s="8">
        <f>IF(E336="","",MAX(0, S336 - T336 - U336 - V336 - W336 - X336 - Y336 - IF(J336="Yes", 150000, 0)))</f>
      </c>
      <c r="AA336" s="8">
        <f>IF(E336="","",IF(OR(L336&gt;0, E336&lt;&gt;""), 2400, 0))</f>
      </c>
      <c r="AB336" s="7"/>
      <c r="AC336" s="8">
        <f>IF(E336="","",MAX(0, MAX(0, Z336*0.1) + MAX(0, (Z336-24000)*0.15) + MAX(0, (Z336-32333)*0.05) + MAX(0, (Z336-500000)*0.025) + MAX(0, (Z336-800000)*0.025) - AA336 - AB336))</f>
      </c>
      <c r="AD336" s="8">
        <f>IF(E336="","",AC336)</f>
      </c>
    </row>
    <row r="337" spans="1:30" x14ac:dyDescent="0.25">
      <c r="A337" s="6"/>
      <c r="B337" s="6"/>
      <c r="C337" s="6"/>
      <c r="F337" s="6"/>
      <c r="G337" s="6"/>
      <c r="L337" s="7"/>
      <c r="M337" s="7"/>
      <c r="N337" s="7"/>
      <c r="O337" s="7"/>
      <c r="P337" s="7"/>
      <c r="Q337" s="7"/>
      <c r="R337" s="7"/>
      <c r="S337" s="8">
        <f>IF(E337="","",SUM(L337:O337) + Q337 + R337)</f>
      </c>
      <c r="T337" s="8">
        <f>IF(E337="","",S337*0.0275)</f>
      </c>
      <c r="U337" s="8">
        <f>IF(E337="","",IF(S337&gt;0, MIN(S337*0.06, 6480), 0))</f>
      </c>
      <c r="V337" s="7"/>
      <c r="W337" s="7"/>
      <c r="X337" s="7"/>
      <c r="Y337" s="8">
        <f>IF(E337="","",S337*0.015)</f>
      </c>
      <c r="Z337" s="8">
        <f>IF(E337="","",MAX(0, S337 - T337 - U337 - V337 - W337 - X337 - Y337 - IF(J337="Yes", 150000, 0)))</f>
      </c>
      <c r="AA337" s="8">
        <f>IF(E337="","",IF(OR(L337&gt;0, E337&lt;&gt;""), 2400, 0))</f>
      </c>
      <c r="AB337" s="7"/>
      <c r="AC337" s="8">
        <f>IF(E337="","",MAX(0, MAX(0, Z337*0.1) + MAX(0, (Z337-24000)*0.15) + MAX(0, (Z337-32333)*0.05) + MAX(0, (Z337-500000)*0.025) + MAX(0, (Z337-800000)*0.025) - AA337 - AB337))</f>
      </c>
      <c r="AD337" s="8">
        <f>IF(E337="","",AC337)</f>
      </c>
    </row>
    <row r="338" spans="1:30" x14ac:dyDescent="0.25">
      <c r="A338" s="6"/>
      <c r="B338" s="6"/>
      <c r="C338" s="6"/>
      <c r="F338" s="6"/>
      <c r="G338" s="6"/>
      <c r="L338" s="7"/>
      <c r="M338" s="7"/>
      <c r="N338" s="7"/>
      <c r="O338" s="7"/>
      <c r="P338" s="7"/>
      <c r="Q338" s="7"/>
      <c r="R338" s="7"/>
      <c r="S338" s="8">
        <f>IF(E338="","",SUM(L338:O338) + Q338 + R338)</f>
      </c>
      <c r="T338" s="8">
        <f>IF(E338="","",S338*0.0275)</f>
      </c>
      <c r="U338" s="8">
        <f>IF(E338="","",IF(S338&gt;0, MIN(S338*0.06, 6480), 0))</f>
      </c>
      <c r="V338" s="7"/>
      <c r="W338" s="7"/>
      <c r="X338" s="7"/>
      <c r="Y338" s="8">
        <f>IF(E338="","",S338*0.015)</f>
      </c>
      <c r="Z338" s="8">
        <f>IF(E338="","",MAX(0, S338 - T338 - U338 - V338 - W338 - X338 - Y338 - IF(J338="Yes", 150000, 0)))</f>
      </c>
      <c r="AA338" s="8">
        <f>IF(E338="","",IF(OR(L338&gt;0, E338&lt;&gt;""), 2400, 0))</f>
      </c>
      <c r="AB338" s="7"/>
      <c r="AC338" s="8">
        <f>IF(E338="","",MAX(0, MAX(0, Z338*0.1) + MAX(0, (Z338-24000)*0.15) + MAX(0, (Z338-32333)*0.05) + MAX(0, (Z338-500000)*0.025) + MAX(0, (Z338-800000)*0.025) - AA338 - AB338))</f>
      </c>
      <c r="AD338" s="8">
        <f>IF(E338="","",AC338)</f>
      </c>
    </row>
    <row r="339" spans="1:30" x14ac:dyDescent="0.25">
      <c r="A339" s="6"/>
      <c r="B339" s="6"/>
      <c r="C339" s="6"/>
      <c r="F339" s="6"/>
      <c r="G339" s="6"/>
      <c r="L339" s="7"/>
      <c r="M339" s="7"/>
      <c r="N339" s="7"/>
      <c r="O339" s="7"/>
      <c r="P339" s="7"/>
      <c r="Q339" s="7"/>
      <c r="R339" s="7"/>
      <c r="S339" s="8">
        <f>IF(E339="","",SUM(L339:O339) + Q339 + R339)</f>
      </c>
      <c r="T339" s="8">
        <f>IF(E339="","",S339*0.0275)</f>
      </c>
      <c r="U339" s="8">
        <f>IF(E339="","",IF(S339&gt;0, MIN(S339*0.06, 6480), 0))</f>
      </c>
      <c r="V339" s="7"/>
      <c r="W339" s="7"/>
      <c r="X339" s="7"/>
      <c r="Y339" s="8">
        <f>IF(E339="","",S339*0.015)</f>
      </c>
      <c r="Z339" s="8">
        <f>IF(E339="","",MAX(0, S339 - T339 - U339 - V339 - W339 - X339 - Y339 - IF(J339="Yes", 150000, 0)))</f>
      </c>
      <c r="AA339" s="8">
        <f>IF(E339="","",IF(OR(L339&gt;0, E339&lt;&gt;""), 2400, 0))</f>
      </c>
      <c r="AB339" s="7"/>
      <c r="AC339" s="8">
        <f>IF(E339="","",MAX(0, MAX(0, Z339*0.1) + MAX(0, (Z339-24000)*0.15) + MAX(0, (Z339-32333)*0.05) + MAX(0, (Z339-500000)*0.025) + MAX(0, (Z339-800000)*0.025) - AA339 - AB339))</f>
      </c>
      <c r="AD339" s="8">
        <f>IF(E339="","",AC339)</f>
      </c>
    </row>
    <row r="340" spans="1:30" x14ac:dyDescent="0.25">
      <c r="A340" s="6"/>
      <c r="B340" s="6"/>
      <c r="C340" s="6"/>
      <c r="F340" s="6"/>
      <c r="G340" s="6"/>
      <c r="L340" s="7"/>
      <c r="M340" s="7"/>
      <c r="N340" s="7"/>
      <c r="O340" s="7"/>
      <c r="P340" s="7"/>
      <c r="Q340" s="7"/>
      <c r="R340" s="7"/>
      <c r="S340" s="8">
        <f>IF(E340="","",SUM(L340:O340) + Q340 + R340)</f>
      </c>
      <c r="T340" s="8">
        <f>IF(E340="","",S340*0.0275)</f>
      </c>
      <c r="U340" s="8">
        <f>IF(E340="","",IF(S340&gt;0, MIN(S340*0.06, 6480), 0))</f>
      </c>
      <c r="V340" s="7"/>
      <c r="W340" s="7"/>
      <c r="X340" s="7"/>
      <c r="Y340" s="8">
        <f>IF(E340="","",S340*0.015)</f>
      </c>
      <c r="Z340" s="8">
        <f>IF(E340="","",MAX(0, S340 - T340 - U340 - V340 - W340 - X340 - Y340 - IF(J340="Yes", 150000, 0)))</f>
      </c>
      <c r="AA340" s="8">
        <f>IF(E340="","",IF(OR(L340&gt;0, E340&lt;&gt;""), 2400, 0))</f>
      </c>
      <c r="AB340" s="7"/>
      <c r="AC340" s="8">
        <f>IF(E340="","",MAX(0, MAX(0, Z340*0.1) + MAX(0, (Z340-24000)*0.15) + MAX(0, (Z340-32333)*0.05) + MAX(0, (Z340-500000)*0.025) + MAX(0, (Z340-800000)*0.025) - AA340 - AB340))</f>
      </c>
      <c r="AD340" s="8">
        <f>IF(E340="","",AC340)</f>
      </c>
    </row>
    <row r="341" spans="1:30" x14ac:dyDescent="0.25">
      <c r="A341" s="6"/>
      <c r="B341" s="6"/>
      <c r="C341" s="6"/>
      <c r="F341" s="6"/>
      <c r="G341" s="6"/>
      <c r="L341" s="7"/>
      <c r="M341" s="7"/>
      <c r="N341" s="7"/>
      <c r="O341" s="7"/>
      <c r="P341" s="7"/>
      <c r="Q341" s="7"/>
      <c r="R341" s="7"/>
      <c r="S341" s="8">
        <f>IF(E341="","",SUM(L341:O341) + Q341 + R341)</f>
      </c>
      <c r="T341" s="8">
        <f>IF(E341="","",S341*0.0275)</f>
      </c>
      <c r="U341" s="8">
        <f>IF(E341="","",IF(S341&gt;0, MIN(S341*0.06, 6480), 0))</f>
      </c>
      <c r="V341" s="7"/>
      <c r="W341" s="7"/>
      <c r="X341" s="7"/>
      <c r="Y341" s="8">
        <f>IF(E341="","",S341*0.015)</f>
      </c>
      <c r="Z341" s="8">
        <f>IF(E341="","",MAX(0, S341 - T341 - U341 - V341 - W341 - X341 - Y341 - IF(J341="Yes", 150000, 0)))</f>
      </c>
      <c r="AA341" s="8">
        <f>IF(E341="","",IF(OR(L341&gt;0, E341&lt;&gt;""), 2400, 0))</f>
      </c>
      <c r="AB341" s="7"/>
      <c r="AC341" s="8">
        <f>IF(E341="","",MAX(0, MAX(0, Z341*0.1) + MAX(0, (Z341-24000)*0.15) + MAX(0, (Z341-32333)*0.05) + MAX(0, (Z341-500000)*0.025) + MAX(0, (Z341-800000)*0.025) - AA341 - AB341))</f>
      </c>
      <c r="AD341" s="8">
        <f>IF(E341="","",AC341)</f>
      </c>
    </row>
    <row r="342" spans="1:30" x14ac:dyDescent="0.25">
      <c r="A342" s="6"/>
      <c r="B342" s="6"/>
      <c r="C342" s="6"/>
      <c r="F342" s="6"/>
      <c r="G342" s="6"/>
      <c r="L342" s="7"/>
      <c r="M342" s="7"/>
      <c r="N342" s="7"/>
      <c r="O342" s="7"/>
      <c r="P342" s="7"/>
      <c r="Q342" s="7"/>
      <c r="R342" s="7"/>
      <c r="S342" s="8">
        <f>IF(E342="","",SUM(L342:O342) + Q342 + R342)</f>
      </c>
      <c r="T342" s="8">
        <f>IF(E342="","",S342*0.0275)</f>
      </c>
      <c r="U342" s="8">
        <f>IF(E342="","",IF(S342&gt;0, MIN(S342*0.06, 6480), 0))</f>
      </c>
      <c r="V342" s="7"/>
      <c r="W342" s="7"/>
      <c r="X342" s="7"/>
      <c r="Y342" s="8">
        <f>IF(E342="","",S342*0.015)</f>
      </c>
      <c r="Z342" s="8">
        <f>IF(E342="","",MAX(0, S342 - T342 - U342 - V342 - W342 - X342 - Y342 - IF(J342="Yes", 150000, 0)))</f>
      </c>
      <c r="AA342" s="8">
        <f>IF(E342="","",IF(OR(L342&gt;0, E342&lt;&gt;""), 2400, 0))</f>
      </c>
      <c r="AB342" s="7"/>
      <c r="AC342" s="8">
        <f>IF(E342="","",MAX(0, MAX(0, Z342*0.1) + MAX(0, (Z342-24000)*0.15) + MAX(0, (Z342-32333)*0.05) + MAX(0, (Z342-500000)*0.025) + MAX(0, (Z342-800000)*0.025) - AA342 - AB342))</f>
      </c>
      <c r="AD342" s="8">
        <f>IF(E342="","",AC342)</f>
      </c>
    </row>
    <row r="343" spans="1:30" x14ac:dyDescent="0.25">
      <c r="A343" s="6"/>
      <c r="B343" s="6"/>
      <c r="C343" s="6"/>
      <c r="F343" s="6"/>
      <c r="G343" s="6"/>
      <c r="L343" s="7"/>
      <c r="M343" s="7"/>
      <c r="N343" s="7"/>
      <c r="O343" s="7"/>
      <c r="P343" s="7"/>
      <c r="Q343" s="7"/>
      <c r="R343" s="7"/>
      <c r="S343" s="8">
        <f>IF(E343="","",SUM(L343:O343) + Q343 + R343)</f>
      </c>
      <c r="T343" s="8">
        <f>IF(E343="","",S343*0.0275)</f>
      </c>
      <c r="U343" s="8">
        <f>IF(E343="","",IF(S343&gt;0, MIN(S343*0.06, 6480), 0))</f>
      </c>
      <c r="V343" s="7"/>
      <c r="W343" s="7"/>
      <c r="X343" s="7"/>
      <c r="Y343" s="8">
        <f>IF(E343="","",S343*0.015)</f>
      </c>
      <c r="Z343" s="8">
        <f>IF(E343="","",MAX(0, S343 - T343 - U343 - V343 - W343 - X343 - Y343 - IF(J343="Yes", 150000, 0)))</f>
      </c>
      <c r="AA343" s="8">
        <f>IF(E343="","",IF(OR(L343&gt;0, E343&lt;&gt;""), 2400, 0))</f>
      </c>
      <c r="AB343" s="7"/>
      <c r="AC343" s="8">
        <f>IF(E343="","",MAX(0, MAX(0, Z343*0.1) + MAX(0, (Z343-24000)*0.15) + MAX(0, (Z343-32333)*0.05) + MAX(0, (Z343-500000)*0.025) + MAX(0, (Z343-800000)*0.025) - AA343 - AB343))</f>
      </c>
      <c r="AD343" s="8">
        <f>IF(E343="","",AC343)</f>
      </c>
    </row>
    <row r="344" spans="1:30" x14ac:dyDescent="0.25">
      <c r="A344" s="6"/>
      <c r="B344" s="6"/>
      <c r="C344" s="6"/>
      <c r="F344" s="6"/>
      <c r="G344" s="6"/>
      <c r="L344" s="7"/>
      <c r="M344" s="7"/>
      <c r="N344" s="7"/>
      <c r="O344" s="7"/>
      <c r="P344" s="7"/>
      <c r="Q344" s="7"/>
      <c r="R344" s="7"/>
      <c r="S344" s="8">
        <f>IF(E344="","",SUM(L344:O344) + Q344 + R344)</f>
      </c>
      <c r="T344" s="8">
        <f>IF(E344="","",S344*0.0275)</f>
      </c>
      <c r="U344" s="8">
        <f>IF(E344="","",IF(S344&gt;0, MIN(S344*0.06, 6480), 0))</f>
      </c>
      <c r="V344" s="7"/>
      <c r="W344" s="7"/>
      <c r="X344" s="7"/>
      <c r="Y344" s="8">
        <f>IF(E344="","",S344*0.015)</f>
      </c>
      <c r="Z344" s="8">
        <f>IF(E344="","",MAX(0, S344 - T344 - U344 - V344 - W344 - X344 - Y344 - IF(J344="Yes", 150000, 0)))</f>
      </c>
      <c r="AA344" s="8">
        <f>IF(E344="","",IF(OR(L344&gt;0, E344&lt;&gt;""), 2400, 0))</f>
      </c>
      <c r="AB344" s="7"/>
      <c r="AC344" s="8">
        <f>IF(E344="","",MAX(0, MAX(0, Z344*0.1) + MAX(0, (Z344-24000)*0.15) + MAX(0, (Z344-32333)*0.05) + MAX(0, (Z344-500000)*0.025) + MAX(0, (Z344-800000)*0.025) - AA344 - AB344))</f>
      </c>
      <c r="AD344" s="8">
        <f>IF(E344="","",AC344)</f>
      </c>
    </row>
    <row r="345" spans="1:30" x14ac:dyDescent="0.25">
      <c r="A345" s="6"/>
      <c r="B345" s="6"/>
      <c r="C345" s="6"/>
      <c r="F345" s="6"/>
      <c r="G345" s="6"/>
      <c r="L345" s="7"/>
      <c r="M345" s="7"/>
      <c r="N345" s="7"/>
      <c r="O345" s="7"/>
      <c r="P345" s="7"/>
      <c r="Q345" s="7"/>
      <c r="R345" s="7"/>
      <c r="S345" s="8">
        <f>IF(E345="","",SUM(L345:O345) + Q345 + R345)</f>
      </c>
      <c r="T345" s="8">
        <f>IF(E345="","",S345*0.0275)</f>
      </c>
      <c r="U345" s="8">
        <f>IF(E345="","",IF(S345&gt;0, MIN(S345*0.06, 6480), 0))</f>
      </c>
      <c r="V345" s="7"/>
      <c r="W345" s="7"/>
      <c r="X345" s="7"/>
      <c r="Y345" s="8">
        <f>IF(E345="","",S345*0.015)</f>
      </c>
      <c r="Z345" s="8">
        <f>IF(E345="","",MAX(0, S345 - T345 - U345 - V345 - W345 - X345 - Y345 - IF(J345="Yes", 150000, 0)))</f>
      </c>
      <c r="AA345" s="8">
        <f>IF(E345="","",IF(OR(L345&gt;0, E345&lt;&gt;""), 2400, 0))</f>
      </c>
      <c r="AB345" s="7"/>
      <c r="AC345" s="8">
        <f>IF(E345="","",MAX(0, MAX(0, Z345*0.1) + MAX(0, (Z345-24000)*0.15) + MAX(0, (Z345-32333)*0.05) + MAX(0, (Z345-500000)*0.025) + MAX(0, (Z345-800000)*0.025) - AA345 - AB345))</f>
      </c>
      <c r="AD345" s="8">
        <f>IF(E345="","",AC345)</f>
      </c>
    </row>
    <row r="346" spans="1:30" x14ac:dyDescent="0.25">
      <c r="A346" s="6"/>
      <c r="B346" s="6"/>
      <c r="C346" s="6"/>
      <c r="F346" s="6"/>
      <c r="G346" s="6"/>
      <c r="L346" s="7"/>
      <c r="M346" s="7"/>
      <c r="N346" s="7"/>
      <c r="O346" s="7"/>
      <c r="P346" s="7"/>
      <c r="Q346" s="7"/>
      <c r="R346" s="7"/>
      <c r="S346" s="8">
        <f>IF(E346="","",SUM(L346:O346) + Q346 + R346)</f>
      </c>
      <c r="T346" s="8">
        <f>IF(E346="","",S346*0.0275)</f>
      </c>
      <c r="U346" s="8">
        <f>IF(E346="","",IF(S346&gt;0, MIN(S346*0.06, 6480), 0))</f>
      </c>
      <c r="V346" s="7"/>
      <c r="W346" s="7"/>
      <c r="X346" s="7"/>
      <c r="Y346" s="8">
        <f>IF(E346="","",S346*0.015)</f>
      </c>
      <c r="Z346" s="8">
        <f>IF(E346="","",MAX(0, S346 - T346 - U346 - V346 - W346 - X346 - Y346 - IF(J346="Yes", 150000, 0)))</f>
      </c>
      <c r="AA346" s="8">
        <f>IF(E346="","",IF(OR(L346&gt;0, E346&lt;&gt;""), 2400, 0))</f>
      </c>
      <c r="AB346" s="7"/>
      <c r="AC346" s="8">
        <f>IF(E346="","",MAX(0, MAX(0, Z346*0.1) + MAX(0, (Z346-24000)*0.15) + MAX(0, (Z346-32333)*0.05) + MAX(0, (Z346-500000)*0.025) + MAX(0, (Z346-800000)*0.025) - AA346 - AB346))</f>
      </c>
      <c r="AD346" s="8">
        <f>IF(E346="","",AC346)</f>
      </c>
    </row>
    <row r="347" spans="1:30" x14ac:dyDescent="0.25">
      <c r="A347" s="6"/>
      <c r="B347" s="6"/>
      <c r="C347" s="6"/>
      <c r="F347" s="6"/>
      <c r="G347" s="6"/>
      <c r="L347" s="7"/>
      <c r="M347" s="7"/>
      <c r="N347" s="7"/>
      <c r="O347" s="7"/>
      <c r="P347" s="7"/>
      <c r="Q347" s="7"/>
      <c r="R347" s="7"/>
      <c r="S347" s="8">
        <f>IF(E347="","",SUM(L347:O347) + Q347 + R347)</f>
      </c>
      <c r="T347" s="8">
        <f>IF(E347="","",S347*0.0275)</f>
      </c>
      <c r="U347" s="8">
        <f>IF(E347="","",IF(S347&gt;0, MIN(S347*0.06, 6480), 0))</f>
      </c>
      <c r="V347" s="7"/>
      <c r="W347" s="7"/>
      <c r="X347" s="7"/>
      <c r="Y347" s="8">
        <f>IF(E347="","",S347*0.015)</f>
      </c>
      <c r="Z347" s="8">
        <f>IF(E347="","",MAX(0, S347 - T347 - U347 - V347 - W347 - X347 - Y347 - IF(J347="Yes", 150000, 0)))</f>
      </c>
      <c r="AA347" s="8">
        <f>IF(E347="","",IF(OR(L347&gt;0, E347&lt;&gt;""), 2400, 0))</f>
      </c>
      <c r="AB347" s="7"/>
      <c r="AC347" s="8">
        <f>IF(E347="","",MAX(0, MAX(0, Z347*0.1) + MAX(0, (Z347-24000)*0.15) + MAX(0, (Z347-32333)*0.05) + MAX(0, (Z347-500000)*0.025) + MAX(0, (Z347-800000)*0.025) - AA347 - AB347))</f>
      </c>
      <c r="AD347" s="8">
        <f>IF(E347="","",AC347)</f>
      </c>
    </row>
    <row r="348" spans="1:30" x14ac:dyDescent="0.25">
      <c r="A348" s="6"/>
      <c r="B348" s="6"/>
      <c r="C348" s="6"/>
      <c r="F348" s="6"/>
      <c r="G348" s="6"/>
      <c r="L348" s="7"/>
      <c r="M348" s="7"/>
      <c r="N348" s="7"/>
      <c r="O348" s="7"/>
      <c r="P348" s="7"/>
      <c r="Q348" s="7"/>
      <c r="R348" s="7"/>
      <c r="S348" s="8">
        <f>IF(E348="","",SUM(L348:O348) + Q348 + R348)</f>
      </c>
      <c r="T348" s="8">
        <f>IF(E348="","",S348*0.0275)</f>
      </c>
      <c r="U348" s="8">
        <f>IF(E348="","",IF(S348&gt;0, MIN(S348*0.06, 6480), 0))</f>
      </c>
      <c r="V348" s="7"/>
      <c r="W348" s="7"/>
      <c r="X348" s="7"/>
      <c r="Y348" s="8">
        <f>IF(E348="","",S348*0.015)</f>
      </c>
      <c r="Z348" s="8">
        <f>IF(E348="","",MAX(0, S348 - T348 - U348 - V348 - W348 - X348 - Y348 - IF(J348="Yes", 150000, 0)))</f>
      </c>
      <c r="AA348" s="8">
        <f>IF(E348="","",IF(OR(L348&gt;0, E348&lt;&gt;""), 2400, 0))</f>
      </c>
      <c r="AB348" s="7"/>
      <c r="AC348" s="8">
        <f>IF(E348="","",MAX(0, MAX(0, Z348*0.1) + MAX(0, (Z348-24000)*0.15) + MAX(0, (Z348-32333)*0.05) + MAX(0, (Z348-500000)*0.025) + MAX(0, (Z348-800000)*0.025) - AA348 - AB348))</f>
      </c>
      <c r="AD348" s="8">
        <f>IF(E348="","",AC348)</f>
      </c>
    </row>
    <row r="349" spans="1:30" x14ac:dyDescent="0.25">
      <c r="A349" s="6"/>
      <c r="B349" s="6"/>
      <c r="C349" s="6"/>
      <c r="F349" s="6"/>
      <c r="G349" s="6"/>
      <c r="L349" s="7"/>
      <c r="M349" s="7"/>
      <c r="N349" s="7"/>
      <c r="O349" s="7"/>
      <c r="P349" s="7"/>
      <c r="Q349" s="7"/>
      <c r="R349" s="7"/>
      <c r="S349" s="8">
        <f>IF(E349="","",SUM(L349:O349) + Q349 + R349)</f>
      </c>
      <c r="T349" s="8">
        <f>IF(E349="","",S349*0.0275)</f>
      </c>
      <c r="U349" s="8">
        <f>IF(E349="","",IF(S349&gt;0, MIN(S349*0.06, 6480), 0))</f>
      </c>
      <c r="V349" s="7"/>
      <c r="W349" s="7"/>
      <c r="X349" s="7"/>
      <c r="Y349" s="8">
        <f>IF(E349="","",S349*0.015)</f>
      </c>
      <c r="Z349" s="8">
        <f>IF(E349="","",MAX(0, S349 - T349 - U349 - V349 - W349 - X349 - Y349 - IF(J349="Yes", 150000, 0)))</f>
      </c>
      <c r="AA349" s="8">
        <f>IF(E349="","",IF(OR(L349&gt;0, E349&lt;&gt;""), 2400, 0))</f>
      </c>
      <c r="AB349" s="7"/>
      <c r="AC349" s="8">
        <f>IF(E349="","",MAX(0, MAX(0, Z349*0.1) + MAX(0, (Z349-24000)*0.15) + MAX(0, (Z349-32333)*0.05) + MAX(0, (Z349-500000)*0.025) + MAX(0, (Z349-800000)*0.025) - AA349 - AB349))</f>
      </c>
      <c r="AD349" s="8">
        <f>IF(E349="","",AC349)</f>
      </c>
    </row>
    <row r="350" spans="1:30" x14ac:dyDescent="0.25">
      <c r="A350" s="6"/>
      <c r="B350" s="6"/>
      <c r="C350" s="6"/>
      <c r="F350" s="6"/>
      <c r="G350" s="6"/>
      <c r="L350" s="7"/>
      <c r="M350" s="7"/>
      <c r="N350" s="7"/>
      <c r="O350" s="7"/>
      <c r="P350" s="7"/>
      <c r="Q350" s="7"/>
      <c r="R350" s="7"/>
      <c r="S350" s="8">
        <f>IF(E350="","",SUM(L350:O350) + Q350 + R350)</f>
      </c>
      <c r="T350" s="8">
        <f>IF(E350="","",S350*0.0275)</f>
      </c>
      <c r="U350" s="8">
        <f>IF(E350="","",IF(S350&gt;0, MIN(S350*0.06, 6480), 0))</f>
      </c>
      <c r="V350" s="7"/>
      <c r="W350" s="7"/>
      <c r="X350" s="7"/>
      <c r="Y350" s="8">
        <f>IF(E350="","",S350*0.015)</f>
      </c>
      <c r="Z350" s="8">
        <f>IF(E350="","",MAX(0, S350 - T350 - U350 - V350 - W350 - X350 - Y350 - IF(J350="Yes", 150000, 0)))</f>
      </c>
      <c r="AA350" s="8">
        <f>IF(E350="","",IF(OR(L350&gt;0, E350&lt;&gt;""), 2400, 0))</f>
      </c>
      <c r="AB350" s="7"/>
      <c r="AC350" s="8">
        <f>IF(E350="","",MAX(0, MAX(0, Z350*0.1) + MAX(0, (Z350-24000)*0.15) + MAX(0, (Z350-32333)*0.05) + MAX(0, (Z350-500000)*0.025) + MAX(0, (Z350-800000)*0.025) - AA350 - AB350))</f>
      </c>
      <c r="AD350" s="8">
        <f>IF(E350="","",AC350)</f>
      </c>
    </row>
    <row r="351" spans="1:30" x14ac:dyDescent="0.25">
      <c r="A351" s="6"/>
      <c r="B351" s="6"/>
      <c r="C351" s="6"/>
      <c r="F351" s="6"/>
      <c r="G351" s="6"/>
      <c r="L351" s="7"/>
      <c r="M351" s="7"/>
      <c r="N351" s="7"/>
      <c r="O351" s="7"/>
      <c r="P351" s="7"/>
      <c r="Q351" s="7"/>
      <c r="R351" s="7"/>
      <c r="S351" s="8">
        <f>IF(E351="","",SUM(L351:O351) + Q351 + R351)</f>
      </c>
      <c r="T351" s="8">
        <f>IF(E351="","",S351*0.0275)</f>
      </c>
      <c r="U351" s="8">
        <f>IF(E351="","",IF(S351&gt;0, MIN(S351*0.06, 6480), 0))</f>
      </c>
      <c r="V351" s="7"/>
      <c r="W351" s="7"/>
      <c r="X351" s="7"/>
      <c r="Y351" s="8">
        <f>IF(E351="","",S351*0.015)</f>
      </c>
      <c r="Z351" s="8">
        <f>IF(E351="","",MAX(0, S351 - T351 - U351 - V351 - W351 - X351 - Y351 - IF(J351="Yes", 150000, 0)))</f>
      </c>
      <c r="AA351" s="8">
        <f>IF(E351="","",IF(OR(L351&gt;0, E351&lt;&gt;""), 2400, 0))</f>
      </c>
      <c r="AB351" s="7"/>
      <c r="AC351" s="8">
        <f>IF(E351="","",MAX(0, MAX(0, Z351*0.1) + MAX(0, (Z351-24000)*0.15) + MAX(0, (Z351-32333)*0.05) + MAX(0, (Z351-500000)*0.025) + MAX(0, (Z351-800000)*0.025) - AA351 - AB351))</f>
      </c>
      <c r="AD351" s="8">
        <f>IF(E351="","",AC351)</f>
      </c>
    </row>
    <row r="352" spans="1:30" x14ac:dyDescent="0.25">
      <c r="A352" s="6"/>
      <c r="B352" s="6"/>
      <c r="C352" s="6"/>
      <c r="F352" s="6"/>
      <c r="G352" s="6"/>
      <c r="L352" s="7"/>
      <c r="M352" s="7"/>
      <c r="N352" s="7"/>
      <c r="O352" s="7"/>
      <c r="P352" s="7"/>
      <c r="Q352" s="7"/>
      <c r="R352" s="7"/>
      <c r="S352" s="8">
        <f>IF(E352="","",SUM(L352:O352) + Q352 + R352)</f>
      </c>
      <c r="T352" s="8">
        <f>IF(E352="","",S352*0.0275)</f>
      </c>
      <c r="U352" s="8">
        <f>IF(E352="","",IF(S352&gt;0, MIN(S352*0.06, 6480), 0))</f>
      </c>
      <c r="V352" s="7"/>
      <c r="W352" s="7"/>
      <c r="X352" s="7"/>
      <c r="Y352" s="8">
        <f>IF(E352="","",S352*0.015)</f>
      </c>
      <c r="Z352" s="8">
        <f>IF(E352="","",MAX(0, S352 - T352 - U352 - V352 - W352 - X352 - Y352 - IF(J352="Yes", 150000, 0)))</f>
      </c>
      <c r="AA352" s="8">
        <f>IF(E352="","",IF(OR(L352&gt;0, E352&lt;&gt;""), 2400, 0))</f>
      </c>
      <c r="AB352" s="7"/>
      <c r="AC352" s="8">
        <f>IF(E352="","",MAX(0, MAX(0, Z352*0.1) + MAX(0, (Z352-24000)*0.15) + MAX(0, (Z352-32333)*0.05) + MAX(0, (Z352-500000)*0.025) + MAX(0, (Z352-800000)*0.025) - AA352 - AB352))</f>
      </c>
      <c r="AD352" s="8">
        <f>IF(E352="","",AC352)</f>
      </c>
    </row>
    <row r="353" spans="1:30" x14ac:dyDescent="0.25">
      <c r="A353" s="6"/>
      <c r="B353" s="6"/>
      <c r="C353" s="6"/>
      <c r="F353" s="6"/>
      <c r="G353" s="6"/>
      <c r="L353" s="7"/>
      <c r="M353" s="7"/>
      <c r="N353" s="7"/>
      <c r="O353" s="7"/>
      <c r="P353" s="7"/>
      <c r="Q353" s="7"/>
      <c r="R353" s="7"/>
      <c r="S353" s="8">
        <f>IF(E353="","",SUM(L353:O353) + Q353 + R353)</f>
      </c>
      <c r="T353" s="8">
        <f>IF(E353="","",S353*0.0275)</f>
      </c>
      <c r="U353" s="8">
        <f>IF(E353="","",IF(S353&gt;0, MIN(S353*0.06, 6480), 0))</f>
      </c>
      <c r="V353" s="7"/>
      <c r="W353" s="7"/>
      <c r="X353" s="7"/>
      <c r="Y353" s="8">
        <f>IF(E353="","",S353*0.015)</f>
      </c>
      <c r="Z353" s="8">
        <f>IF(E353="","",MAX(0, S353 - T353 - U353 - V353 - W353 - X353 - Y353 - IF(J353="Yes", 150000, 0)))</f>
      </c>
      <c r="AA353" s="8">
        <f>IF(E353="","",IF(OR(L353&gt;0, E353&lt;&gt;""), 2400, 0))</f>
      </c>
      <c r="AB353" s="7"/>
      <c r="AC353" s="8">
        <f>IF(E353="","",MAX(0, MAX(0, Z353*0.1) + MAX(0, (Z353-24000)*0.15) + MAX(0, (Z353-32333)*0.05) + MAX(0, (Z353-500000)*0.025) + MAX(0, (Z353-800000)*0.025) - AA353 - AB353))</f>
      </c>
      <c r="AD353" s="8">
        <f>IF(E353="","",AC353)</f>
      </c>
    </row>
    <row r="354" spans="1:30" x14ac:dyDescent="0.25">
      <c r="A354" s="6"/>
      <c r="B354" s="6"/>
      <c r="C354" s="6"/>
      <c r="F354" s="6"/>
      <c r="G354" s="6"/>
      <c r="L354" s="7"/>
      <c r="M354" s="7"/>
      <c r="N354" s="7"/>
      <c r="O354" s="7"/>
      <c r="P354" s="7"/>
      <c r="Q354" s="7"/>
      <c r="R354" s="7"/>
      <c r="S354" s="8">
        <f>IF(E354="","",SUM(L354:O354) + Q354 + R354)</f>
      </c>
      <c r="T354" s="8">
        <f>IF(E354="","",S354*0.0275)</f>
      </c>
      <c r="U354" s="8">
        <f>IF(E354="","",IF(S354&gt;0, MIN(S354*0.06, 6480), 0))</f>
      </c>
      <c r="V354" s="7"/>
      <c r="W354" s="7"/>
      <c r="X354" s="7"/>
      <c r="Y354" s="8">
        <f>IF(E354="","",S354*0.015)</f>
      </c>
      <c r="Z354" s="8">
        <f>IF(E354="","",MAX(0, S354 - T354 - U354 - V354 - W354 - X354 - Y354 - IF(J354="Yes", 150000, 0)))</f>
      </c>
      <c r="AA354" s="8">
        <f>IF(E354="","",IF(OR(L354&gt;0, E354&lt;&gt;""), 2400, 0))</f>
      </c>
      <c r="AB354" s="7"/>
      <c r="AC354" s="8">
        <f>IF(E354="","",MAX(0, MAX(0, Z354*0.1) + MAX(0, (Z354-24000)*0.15) + MAX(0, (Z354-32333)*0.05) + MAX(0, (Z354-500000)*0.025) + MAX(0, (Z354-800000)*0.025) - AA354 - AB354))</f>
      </c>
      <c r="AD354" s="8">
        <f>IF(E354="","",AC354)</f>
      </c>
    </row>
    <row r="355" spans="1:30" x14ac:dyDescent="0.25">
      <c r="A355" s="6"/>
      <c r="B355" s="6"/>
      <c r="C355" s="6"/>
      <c r="F355" s="6"/>
      <c r="G355" s="6"/>
      <c r="L355" s="7"/>
      <c r="M355" s="7"/>
      <c r="N355" s="7"/>
      <c r="O355" s="7"/>
      <c r="P355" s="7"/>
      <c r="Q355" s="7"/>
      <c r="R355" s="7"/>
      <c r="S355" s="8">
        <f>IF(E355="","",SUM(L355:O355) + Q355 + R355)</f>
      </c>
      <c r="T355" s="8">
        <f>IF(E355="","",S355*0.0275)</f>
      </c>
      <c r="U355" s="8">
        <f>IF(E355="","",IF(S355&gt;0, MIN(S355*0.06, 6480), 0))</f>
      </c>
      <c r="V355" s="7"/>
      <c r="W355" s="7"/>
      <c r="X355" s="7"/>
      <c r="Y355" s="8">
        <f>IF(E355="","",S355*0.015)</f>
      </c>
      <c r="Z355" s="8">
        <f>IF(E355="","",MAX(0, S355 - T355 - U355 - V355 - W355 - X355 - Y355 - IF(J355="Yes", 150000, 0)))</f>
      </c>
      <c r="AA355" s="8">
        <f>IF(E355="","",IF(OR(L355&gt;0, E355&lt;&gt;""), 2400, 0))</f>
      </c>
      <c r="AB355" s="7"/>
      <c r="AC355" s="8">
        <f>IF(E355="","",MAX(0, MAX(0, Z355*0.1) + MAX(0, (Z355-24000)*0.15) + MAX(0, (Z355-32333)*0.05) + MAX(0, (Z355-500000)*0.025) + MAX(0, (Z355-800000)*0.025) - AA355 - AB355))</f>
      </c>
      <c r="AD355" s="8">
        <f>IF(E355="","",AC355)</f>
      </c>
    </row>
    <row r="356" spans="1:30" x14ac:dyDescent="0.25">
      <c r="A356" s="6"/>
      <c r="B356" s="6"/>
      <c r="C356" s="6"/>
      <c r="F356" s="6"/>
      <c r="G356" s="6"/>
      <c r="L356" s="7"/>
      <c r="M356" s="7"/>
      <c r="N356" s="7"/>
      <c r="O356" s="7"/>
      <c r="P356" s="7"/>
      <c r="Q356" s="7"/>
      <c r="R356" s="7"/>
      <c r="S356" s="8">
        <f>IF(E356="","",SUM(L356:O356) + Q356 + R356)</f>
      </c>
      <c r="T356" s="8">
        <f>IF(E356="","",S356*0.0275)</f>
      </c>
      <c r="U356" s="8">
        <f>IF(E356="","",IF(S356&gt;0, MIN(S356*0.06, 6480), 0))</f>
      </c>
      <c r="V356" s="7"/>
      <c r="W356" s="7"/>
      <c r="X356" s="7"/>
      <c r="Y356" s="8">
        <f>IF(E356="","",S356*0.015)</f>
      </c>
      <c r="Z356" s="8">
        <f>IF(E356="","",MAX(0, S356 - T356 - U356 - V356 - W356 - X356 - Y356 - IF(J356="Yes", 150000, 0)))</f>
      </c>
      <c r="AA356" s="8">
        <f>IF(E356="","",IF(OR(L356&gt;0, E356&lt;&gt;""), 2400, 0))</f>
      </c>
      <c r="AB356" s="7"/>
      <c r="AC356" s="8">
        <f>IF(E356="","",MAX(0, MAX(0, Z356*0.1) + MAX(0, (Z356-24000)*0.15) + MAX(0, (Z356-32333)*0.05) + MAX(0, (Z356-500000)*0.025) + MAX(0, (Z356-800000)*0.025) - AA356 - AB356))</f>
      </c>
      <c r="AD356" s="8">
        <f>IF(E356="","",AC356)</f>
      </c>
    </row>
    <row r="357" spans="1:30" x14ac:dyDescent="0.25">
      <c r="A357" s="6"/>
      <c r="B357" s="6"/>
      <c r="C357" s="6"/>
      <c r="F357" s="6"/>
      <c r="G357" s="6"/>
      <c r="L357" s="7"/>
      <c r="M357" s="7"/>
      <c r="N357" s="7"/>
      <c r="O357" s="7"/>
      <c r="P357" s="7"/>
      <c r="Q357" s="7"/>
      <c r="R357" s="7"/>
      <c r="S357" s="8">
        <f>IF(E357="","",SUM(L357:O357) + Q357 + R357)</f>
      </c>
      <c r="T357" s="8">
        <f>IF(E357="","",S357*0.0275)</f>
      </c>
      <c r="U357" s="8">
        <f>IF(E357="","",IF(S357&gt;0, MIN(S357*0.06, 6480), 0))</f>
      </c>
      <c r="V357" s="7"/>
      <c r="W357" s="7"/>
      <c r="X357" s="7"/>
      <c r="Y357" s="8">
        <f>IF(E357="","",S357*0.015)</f>
      </c>
      <c r="Z357" s="8">
        <f>IF(E357="","",MAX(0, S357 - T357 - U357 - V357 - W357 - X357 - Y357 - IF(J357="Yes", 150000, 0)))</f>
      </c>
      <c r="AA357" s="8">
        <f>IF(E357="","",IF(OR(L357&gt;0, E357&lt;&gt;""), 2400, 0))</f>
      </c>
      <c r="AB357" s="7"/>
      <c r="AC357" s="8">
        <f>IF(E357="","",MAX(0, MAX(0, Z357*0.1) + MAX(0, (Z357-24000)*0.15) + MAX(0, (Z357-32333)*0.05) + MAX(0, (Z357-500000)*0.025) + MAX(0, (Z357-800000)*0.025) - AA357 - AB357))</f>
      </c>
      <c r="AD357" s="8">
        <f>IF(E357="","",AC357)</f>
      </c>
    </row>
    <row r="358" spans="1:30" x14ac:dyDescent="0.25">
      <c r="A358" s="6"/>
      <c r="B358" s="6"/>
      <c r="C358" s="6"/>
      <c r="F358" s="6"/>
      <c r="G358" s="6"/>
      <c r="L358" s="7"/>
      <c r="M358" s="7"/>
      <c r="N358" s="7"/>
      <c r="O358" s="7"/>
      <c r="P358" s="7"/>
      <c r="Q358" s="7"/>
      <c r="R358" s="7"/>
      <c r="S358" s="8">
        <f>IF(E358="","",SUM(L358:O358) + Q358 + R358)</f>
      </c>
      <c r="T358" s="8">
        <f>IF(E358="","",S358*0.0275)</f>
      </c>
      <c r="U358" s="8">
        <f>IF(E358="","",IF(S358&gt;0, MIN(S358*0.06, 6480), 0))</f>
      </c>
      <c r="V358" s="7"/>
      <c r="W358" s="7"/>
      <c r="X358" s="7"/>
      <c r="Y358" s="8">
        <f>IF(E358="","",S358*0.015)</f>
      </c>
      <c r="Z358" s="8">
        <f>IF(E358="","",MAX(0, S358 - T358 - U358 - V358 - W358 - X358 - Y358 - IF(J358="Yes", 150000, 0)))</f>
      </c>
      <c r="AA358" s="8">
        <f>IF(E358="","",IF(OR(L358&gt;0, E358&lt;&gt;""), 2400, 0))</f>
      </c>
      <c r="AB358" s="7"/>
      <c r="AC358" s="8">
        <f>IF(E358="","",MAX(0, MAX(0, Z358*0.1) + MAX(0, (Z358-24000)*0.15) + MAX(0, (Z358-32333)*0.05) + MAX(0, (Z358-500000)*0.025) + MAX(0, (Z358-800000)*0.025) - AA358 - AB358))</f>
      </c>
      <c r="AD358" s="8">
        <f>IF(E358="","",AC358)</f>
      </c>
    </row>
    <row r="359" spans="1:30" x14ac:dyDescent="0.25">
      <c r="A359" s="6"/>
      <c r="B359" s="6"/>
      <c r="C359" s="6"/>
      <c r="F359" s="6"/>
      <c r="G359" s="6"/>
      <c r="L359" s="7"/>
      <c r="M359" s="7"/>
      <c r="N359" s="7"/>
      <c r="O359" s="7"/>
      <c r="P359" s="7"/>
      <c r="Q359" s="7"/>
      <c r="R359" s="7"/>
      <c r="S359" s="8">
        <f>IF(E359="","",SUM(L359:O359) + Q359 + R359)</f>
      </c>
      <c r="T359" s="8">
        <f>IF(E359="","",S359*0.0275)</f>
      </c>
      <c r="U359" s="8">
        <f>IF(E359="","",IF(S359&gt;0, MIN(S359*0.06, 6480), 0))</f>
      </c>
      <c r="V359" s="7"/>
      <c r="W359" s="7"/>
      <c r="X359" s="7"/>
      <c r="Y359" s="8">
        <f>IF(E359="","",S359*0.015)</f>
      </c>
      <c r="Z359" s="8">
        <f>IF(E359="","",MAX(0, S359 - T359 - U359 - V359 - W359 - X359 - Y359 - IF(J359="Yes", 150000, 0)))</f>
      </c>
      <c r="AA359" s="8">
        <f>IF(E359="","",IF(OR(L359&gt;0, E359&lt;&gt;""), 2400, 0))</f>
      </c>
      <c r="AB359" s="7"/>
      <c r="AC359" s="8">
        <f>IF(E359="","",MAX(0, MAX(0, Z359*0.1) + MAX(0, (Z359-24000)*0.15) + MAX(0, (Z359-32333)*0.05) + MAX(0, (Z359-500000)*0.025) + MAX(0, (Z359-800000)*0.025) - AA359 - AB359))</f>
      </c>
      <c r="AD359" s="8">
        <f>IF(E359="","",AC359)</f>
      </c>
    </row>
    <row r="360" spans="1:30" x14ac:dyDescent="0.25">
      <c r="A360" s="6"/>
      <c r="B360" s="6"/>
      <c r="C360" s="6"/>
      <c r="F360" s="6"/>
      <c r="G360" s="6"/>
      <c r="L360" s="7"/>
      <c r="M360" s="7"/>
      <c r="N360" s="7"/>
      <c r="O360" s="7"/>
      <c r="P360" s="7"/>
      <c r="Q360" s="7"/>
      <c r="R360" s="7"/>
      <c r="S360" s="8">
        <f>IF(E360="","",SUM(L360:O360) + Q360 + R360)</f>
      </c>
      <c r="T360" s="8">
        <f>IF(E360="","",S360*0.0275)</f>
      </c>
      <c r="U360" s="8">
        <f>IF(E360="","",IF(S360&gt;0, MIN(S360*0.06, 6480), 0))</f>
      </c>
      <c r="V360" s="7"/>
      <c r="W360" s="7"/>
      <c r="X360" s="7"/>
      <c r="Y360" s="8">
        <f>IF(E360="","",S360*0.015)</f>
      </c>
      <c r="Z360" s="8">
        <f>IF(E360="","",MAX(0, S360 - T360 - U360 - V360 - W360 - X360 - Y360 - IF(J360="Yes", 150000, 0)))</f>
      </c>
      <c r="AA360" s="8">
        <f>IF(E360="","",IF(OR(L360&gt;0, E360&lt;&gt;""), 2400, 0))</f>
      </c>
      <c r="AB360" s="7"/>
      <c r="AC360" s="8">
        <f>IF(E360="","",MAX(0, MAX(0, Z360*0.1) + MAX(0, (Z360-24000)*0.15) + MAX(0, (Z360-32333)*0.05) + MAX(0, (Z360-500000)*0.025) + MAX(0, (Z360-800000)*0.025) - AA360 - AB360))</f>
      </c>
      <c r="AD360" s="8">
        <f>IF(E360="","",AC360)</f>
      </c>
    </row>
    <row r="361" spans="1:30" x14ac:dyDescent="0.25">
      <c r="A361" s="6"/>
      <c r="B361" s="6"/>
      <c r="C361" s="6"/>
      <c r="F361" s="6"/>
      <c r="G361" s="6"/>
      <c r="L361" s="7"/>
      <c r="M361" s="7"/>
      <c r="N361" s="7"/>
      <c r="O361" s="7"/>
      <c r="P361" s="7"/>
      <c r="Q361" s="7"/>
      <c r="R361" s="7"/>
      <c r="S361" s="8">
        <f>IF(E361="","",SUM(L361:O361) + Q361 + R361)</f>
      </c>
      <c r="T361" s="8">
        <f>IF(E361="","",S361*0.0275)</f>
      </c>
      <c r="U361" s="8">
        <f>IF(E361="","",IF(S361&gt;0, MIN(S361*0.06, 6480), 0))</f>
      </c>
      <c r="V361" s="7"/>
      <c r="W361" s="7"/>
      <c r="X361" s="7"/>
      <c r="Y361" s="8">
        <f>IF(E361="","",S361*0.015)</f>
      </c>
      <c r="Z361" s="8">
        <f>IF(E361="","",MAX(0, S361 - T361 - U361 - V361 - W361 - X361 - Y361 - IF(J361="Yes", 150000, 0)))</f>
      </c>
      <c r="AA361" s="8">
        <f>IF(E361="","",IF(OR(L361&gt;0, E361&lt;&gt;""), 2400, 0))</f>
      </c>
      <c r="AB361" s="7"/>
      <c r="AC361" s="8">
        <f>IF(E361="","",MAX(0, MAX(0, Z361*0.1) + MAX(0, (Z361-24000)*0.15) + MAX(0, (Z361-32333)*0.05) + MAX(0, (Z361-500000)*0.025) + MAX(0, (Z361-800000)*0.025) - AA361 - AB361))</f>
      </c>
      <c r="AD361" s="8">
        <f>IF(E361="","",AC361)</f>
      </c>
    </row>
    <row r="362" spans="1:30" x14ac:dyDescent="0.25">
      <c r="A362" s="6"/>
      <c r="B362" s="6"/>
      <c r="C362" s="6"/>
      <c r="F362" s="6"/>
      <c r="G362" s="6"/>
      <c r="L362" s="7"/>
      <c r="M362" s="7"/>
      <c r="N362" s="7"/>
      <c r="O362" s="7"/>
      <c r="P362" s="7"/>
      <c r="Q362" s="7"/>
      <c r="R362" s="7"/>
      <c r="S362" s="8">
        <f>IF(E362="","",SUM(L362:O362) + Q362 + R362)</f>
      </c>
      <c r="T362" s="8">
        <f>IF(E362="","",S362*0.0275)</f>
      </c>
      <c r="U362" s="8">
        <f>IF(E362="","",IF(S362&gt;0, MIN(S362*0.06, 6480), 0))</f>
      </c>
      <c r="V362" s="7"/>
      <c r="W362" s="7"/>
      <c r="X362" s="7"/>
      <c r="Y362" s="8">
        <f>IF(E362="","",S362*0.015)</f>
      </c>
      <c r="Z362" s="8">
        <f>IF(E362="","",MAX(0, S362 - T362 - U362 - V362 - W362 - X362 - Y362 - IF(J362="Yes", 150000, 0)))</f>
      </c>
      <c r="AA362" s="8">
        <f>IF(E362="","",IF(OR(L362&gt;0, E362&lt;&gt;""), 2400, 0))</f>
      </c>
      <c r="AB362" s="7"/>
      <c r="AC362" s="8">
        <f>IF(E362="","",MAX(0, MAX(0, Z362*0.1) + MAX(0, (Z362-24000)*0.15) + MAX(0, (Z362-32333)*0.05) + MAX(0, (Z362-500000)*0.025) + MAX(0, (Z362-800000)*0.025) - AA362 - AB362))</f>
      </c>
      <c r="AD362" s="8">
        <f>IF(E362="","",AC362)</f>
      </c>
    </row>
    <row r="363" spans="1:30" x14ac:dyDescent="0.25">
      <c r="A363" s="6"/>
      <c r="B363" s="6"/>
      <c r="C363" s="6"/>
      <c r="F363" s="6"/>
      <c r="G363" s="6"/>
      <c r="L363" s="7"/>
      <c r="M363" s="7"/>
      <c r="N363" s="7"/>
      <c r="O363" s="7"/>
      <c r="P363" s="7"/>
      <c r="Q363" s="7"/>
      <c r="R363" s="7"/>
      <c r="S363" s="8">
        <f>IF(E363="","",SUM(L363:O363) + Q363 + R363)</f>
      </c>
      <c r="T363" s="8">
        <f>IF(E363="","",S363*0.0275)</f>
      </c>
      <c r="U363" s="8">
        <f>IF(E363="","",IF(S363&gt;0, MIN(S363*0.06, 6480), 0))</f>
      </c>
      <c r="V363" s="7"/>
      <c r="W363" s="7"/>
      <c r="X363" s="7"/>
      <c r="Y363" s="8">
        <f>IF(E363="","",S363*0.015)</f>
      </c>
      <c r="Z363" s="8">
        <f>IF(E363="","",MAX(0, S363 - T363 - U363 - V363 - W363 - X363 - Y363 - IF(J363="Yes", 150000, 0)))</f>
      </c>
      <c r="AA363" s="8">
        <f>IF(E363="","",IF(OR(L363&gt;0, E363&lt;&gt;""), 2400, 0))</f>
      </c>
      <c r="AB363" s="7"/>
      <c r="AC363" s="8">
        <f>IF(E363="","",MAX(0, MAX(0, Z363*0.1) + MAX(0, (Z363-24000)*0.15) + MAX(0, (Z363-32333)*0.05) + MAX(0, (Z363-500000)*0.025) + MAX(0, (Z363-800000)*0.025) - AA363 - AB363))</f>
      </c>
      <c r="AD363" s="8">
        <f>IF(E363="","",AC363)</f>
      </c>
    </row>
    <row r="364" spans="1:30" x14ac:dyDescent="0.25">
      <c r="A364" s="6"/>
      <c r="B364" s="6"/>
      <c r="C364" s="6"/>
      <c r="F364" s="6"/>
      <c r="G364" s="6"/>
      <c r="L364" s="7"/>
      <c r="M364" s="7"/>
      <c r="N364" s="7"/>
      <c r="O364" s="7"/>
      <c r="P364" s="7"/>
      <c r="Q364" s="7"/>
      <c r="R364" s="7"/>
      <c r="S364" s="8">
        <f>IF(E364="","",SUM(L364:O364) + Q364 + R364)</f>
      </c>
      <c r="T364" s="8">
        <f>IF(E364="","",S364*0.0275)</f>
      </c>
      <c r="U364" s="8">
        <f>IF(E364="","",IF(S364&gt;0, MIN(S364*0.06, 6480), 0))</f>
      </c>
      <c r="V364" s="7"/>
      <c r="W364" s="7"/>
      <c r="X364" s="7"/>
      <c r="Y364" s="8">
        <f>IF(E364="","",S364*0.015)</f>
      </c>
      <c r="Z364" s="8">
        <f>IF(E364="","",MAX(0, S364 - T364 - U364 - V364 - W364 - X364 - Y364 - IF(J364="Yes", 150000, 0)))</f>
      </c>
      <c r="AA364" s="8">
        <f>IF(E364="","",IF(OR(L364&gt;0, E364&lt;&gt;""), 2400, 0))</f>
      </c>
      <c r="AB364" s="7"/>
      <c r="AC364" s="8">
        <f>IF(E364="","",MAX(0, MAX(0, Z364*0.1) + MAX(0, (Z364-24000)*0.15) + MAX(0, (Z364-32333)*0.05) + MAX(0, (Z364-500000)*0.025) + MAX(0, (Z364-800000)*0.025) - AA364 - AB364))</f>
      </c>
      <c r="AD364" s="8">
        <f>IF(E364="","",AC364)</f>
      </c>
    </row>
    <row r="365" spans="1:30" x14ac:dyDescent="0.25">
      <c r="A365" s="6"/>
      <c r="B365" s="6"/>
      <c r="C365" s="6"/>
      <c r="F365" s="6"/>
      <c r="G365" s="6"/>
      <c r="L365" s="7"/>
      <c r="M365" s="7"/>
      <c r="N365" s="7"/>
      <c r="O365" s="7"/>
      <c r="P365" s="7"/>
      <c r="Q365" s="7"/>
      <c r="R365" s="7"/>
      <c r="S365" s="8">
        <f>IF(E365="","",SUM(L365:O365) + Q365 + R365)</f>
      </c>
      <c r="T365" s="8">
        <f>IF(E365="","",S365*0.0275)</f>
      </c>
      <c r="U365" s="8">
        <f>IF(E365="","",IF(S365&gt;0, MIN(S365*0.06, 6480), 0))</f>
      </c>
      <c r="V365" s="7"/>
      <c r="W365" s="7"/>
      <c r="X365" s="7"/>
      <c r="Y365" s="8">
        <f>IF(E365="","",S365*0.015)</f>
      </c>
      <c r="Z365" s="8">
        <f>IF(E365="","",MAX(0, S365 - T365 - U365 - V365 - W365 - X365 - Y365 - IF(J365="Yes", 150000, 0)))</f>
      </c>
      <c r="AA365" s="8">
        <f>IF(E365="","",IF(OR(L365&gt;0, E365&lt;&gt;""), 2400, 0))</f>
      </c>
      <c r="AB365" s="7"/>
      <c r="AC365" s="8">
        <f>IF(E365="","",MAX(0, MAX(0, Z365*0.1) + MAX(0, (Z365-24000)*0.15) + MAX(0, (Z365-32333)*0.05) + MAX(0, (Z365-500000)*0.025) + MAX(0, (Z365-800000)*0.025) - AA365 - AB365))</f>
      </c>
      <c r="AD365" s="8">
        <f>IF(E365="","",AC365)</f>
      </c>
    </row>
    <row r="366" spans="1:30" x14ac:dyDescent="0.25">
      <c r="A366" s="6"/>
      <c r="B366" s="6"/>
      <c r="C366" s="6"/>
      <c r="F366" s="6"/>
      <c r="G366" s="6"/>
      <c r="L366" s="7"/>
      <c r="M366" s="7"/>
      <c r="N366" s="7"/>
      <c r="O366" s="7"/>
      <c r="P366" s="7"/>
      <c r="Q366" s="7"/>
      <c r="R366" s="7"/>
      <c r="S366" s="8">
        <f>IF(E366="","",SUM(L366:O366) + Q366 + R366)</f>
      </c>
      <c r="T366" s="8">
        <f>IF(E366="","",S366*0.0275)</f>
      </c>
      <c r="U366" s="8">
        <f>IF(E366="","",IF(S366&gt;0, MIN(S366*0.06, 6480), 0))</f>
      </c>
      <c r="V366" s="7"/>
      <c r="W366" s="7"/>
      <c r="X366" s="7"/>
      <c r="Y366" s="8">
        <f>IF(E366="","",S366*0.015)</f>
      </c>
      <c r="Z366" s="8">
        <f>IF(E366="","",MAX(0, S366 - T366 - U366 - V366 - W366 - X366 - Y366 - IF(J366="Yes", 150000, 0)))</f>
      </c>
      <c r="AA366" s="8">
        <f>IF(E366="","",IF(OR(L366&gt;0, E366&lt;&gt;""), 2400, 0))</f>
      </c>
      <c r="AB366" s="7"/>
      <c r="AC366" s="8">
        <f>IF(E366="","",MAX(0, MAX(0, Z366*0.1) + MAX(0, (Z366-24000)*0.15) + MAX(0, (Z366-32333)*0.05) + MAX(0, (Z366-500000)*0.025) + MAX(0, (Z366-800000)*0.025) - AA366 - AB366))</f>
      </c>
      <c r="AD366" s="8">
        <f>IF(E366="","",AC366)</f>
      </c>
    </row>
    <row r="367" spans="1:30" x14ac:dyDescent="0.25">
      <c r="A367" s="6"/>
      <c r="B367" s="6"/>
      <c r="C367" s="6"/>
      <c r="F367" s="6"/>
      <c r="G367" s="6"/>
      <c r="L367" s="7"/>
      <c r="M367" s="7"/>
      <c r="N367" s="7"/>
      <c r="O367" s="7"/>
      <c r="P367" s="7"/>
      <c r="Q367" s="7"/>
      <c r="R367" s="7"/>
      <c r="S367" s="8">
        <f>IF(E367="","",SUM(L367:O367) + Q367 + R367)</f>
      </c>
      <c r="T367" s="8">
        <f>IF(E367="","",S367*0.0275)</f>
      </c>
      <c r="U367" s="8">
        <f>IF(E367="","",IF(S367&gt;0, MIN(S367*0.06, 6480), 0))</f>
      </c>
      <c r="V367" s="7"/>
      <c r="W367" s="7"/>
      <c r="X367" s="7"/>
      <c r="Y367" s="8">
        <f>IF(E367="","",S367*0.015)</f>
      </c>
      <c r="Z367" s="8">
        <f>IF(E367="","",MAX(0, S367 - T367 - U367 - V367 - W367 - X367 - Y367 - IF(J367="Yes", 150000, 0)))</f>
      </c>
      <c r="AA367" s="8">
        <f>IF(E367="","",IF(OR(L367&gt;0, E367&lt;&gt;""), 2400, 0))</f>
      </c>
      <c r="AB367" s="7"/>
      <c r="AC367" s="8">
        <f>IF(E367="","",MAX(0, MAX(0, Z367*0.1) + MAX(0, (Z367-24000)*0.15) + MAX(0, (Z367-32333)*0.05) + MAX(0, (Z367-500000)*0.025) + MAX(0, (Z367-800000)*0.025) - AA367 - AB367))</f>
      </c>
      <c r="AD367" s="8">
        <f>IF(E367="","",AC367)</f>
      </c>
    </row>
    <row r="368" spans="1:30" x14ac:dyDescent="0.25">
      <c r="A368" s="6"/>
      <c r="B368" s="6"/>
      <c r="C368" s="6"/>
      <c r="F368" s="6"/>
      <c r="G368" s="6"/>
      <c r="L368" s="7"/>
      <c r="M368" s="7"/>
      <c r="N368" s="7"/>
      <c r="O368" s="7"/>
      <c r="P368" s="7"/>
      <c r="Q368" s="7"/>
      <c r="R368" s="7"/>
      <c r="S368" s="8">
        <f>IF(E368="","",SUM(L368:O368) + Q368 + R368)</f>
      </c>
      <c r="T368" s="8">
        <f>IF(E368="","",S368*0.0275)</f>
      </c>
      <c r="U368" s="8">
        <f>IF(E368="","",IF(S368&gt;0, MIN(S368*0.06, 6480), 0))</f>
      </c>
      <c r="V368" s="7"/>
      <c r="W368" s="7"/>
      <c r="X368" s="7"/>
      <c r="Y368" s="8">
        <f>IF(E368="","",S368*0.015)</f>
      </c>
      <c r="Z368" s="8">
        <f>IF(E368="","",MAX(0, S368 - T368 - U368 - V368 - W368 - X368 - Y368 - IF(J368="Yes", 150000, 0)))</f>
      </c>
      <c r="AA368" s="8">
        <f>IF(E368="","",IF(OR(L368&gt;0, E368&lt;&gt;""), 2400, 0))</f>
      </c>
      <c r="AB368" s="7"/>
      <c r="AC368" s="8">
        <f>IF(E368="","",MAX(0, MAX(0, Z368*0.1) + MAX(0, (Z368-24000)*0.15) + MAX(0, (Z368-32333)*0.05) + MAX(0, (Z368-500000)*0.025) + MAX(0, (Z368-800000)*0.025) - AA368 - AB368))</f>
      </c>
      <c r="AD368" s="8">
        <f>IF(E368="","",AC368)</f>
      </c>
    </row>
    <row r="369" spans="1:30" x14ac:dyDescent="0.25">
      <c r="A369" s="6"/>
      <c r="B369" s="6"/>
      <c r="C369" s="6"/>
      <c r="F369" s="6"/>
      <c r="G369" s="6"/>
      <c r="L369" s="7"/>
      <c r="M369" s="7"/>
      <c r="N369" s="7"/>
      <c r="O369" s="7"/>
      <c r="P369" s="7"/>
      <c r="Q369" s="7"/>
      <c r="R369" s="7"/>
      <c r="S369" s="8">
        <f>IF(E369="","",SUM(L369:O369) + Q369 + R369)</f>
      </c>
      <c r="T369" s="8">
        <f>IF(E369="","",S369*0.0275)</f>
      </c>
      <c r="U369" s="8">
        <f>IF(E369="","",IF(S369&gt;0, MIN(S369*0.06, 6480), 0))</f>
      </c>
      <c r="V369" s="7"/>
      <c r="W369" s="7"/>
      <c r="X369" s="7"/>
      <c r="Y369" s="8">
        <f>IF(E369="","",S369*0.015)</f>
      </c>
      <c r="Z369" s="8">
        <f>IF(E369="","",MAX(0, S369 - T369 - U369 - V369 - W369 - X369 - Y369 - IF(J369="Yes", 150000, 0)))</f>
      </c>
      <c r="AA369" s="8">
        <f>IF(E369="","",IF(OR(L369&gt;0, E369&lt;&gt;""), 2400, 0))</f>
      </c>
      <c r="AB369" s="7"/>
      <c r="AC369" s="8">
        <f>IF(E369="","",MAX(0, MAX(0, Z369*0.1) + MAX(0, (Z369-24000)*0.15) + MAX(0, (Z369-32333)*0.05) + MAX(0, (Z369-500000)*0.025) + MAX(0, (Z369-800000)*0.025) - AA369 - AB369))</f>
      </c>
      <c r="AD369" s="8">
        <f>IF(E369="","",AC369)</f>
      </c>
    </row>
    <row r="370" spans="1:30" x14ac:dyDescent="0.25">
      <c r="A370" s="6"/>
      <c r="B370" s="6"/>
      <c r="C370" s="6"/>
      <c r="F370" s="6"/>
      <c r="G370" s="6"/>
      <c r="L370" s="7"/>
      <c r="M370" s="7"/>
      <c r="N370" s="7"/>
      <c r="O370" s="7"/>
      <c r="P370" s="7"/>
      <c r="Q370" s="7"/>
      <c r="R370" s="7"/>
      <c r="S370" s="8">
        <f>IF(E370="","",SUM(L370:O370) + Q370 + R370)</f>
      </c>
      <c r="T370" s="8">
        <f>IF(E370="","",S370*0.0275)</f>
      </c>
      <c r="U370" s="8">
        <f>IF(E370="","",IF(S370&gt;0, MIN(S370*0.06, 6480), 0))</f>
      </c>
      <c r="V370" s="7"/>
      <c r="W370" s="7"/>
      <c r="X370" s="7"/>
      <c r="Y370" s="8">
        <f>IF(E370="","",S370*0.015)</f>
      </c>
      <c r="Z370" s="8">
        <f>IF(E370="","",MAX(0, S370 - T370 - U370 - V370 - W370 - X370 - Y370 - IF(J370="Yes", 150000, 0)))</f>
      </c>
      <c r="AA370" s="8">
        <f>IF(E370="","",IF(OR(L370&gt;0, E370&lt;&gt;""), 2400, 0))</f>
      </c>
      <c r="AB370" s="7"/>
      <c r="AC370" s="8">
        <f>IF(E370="","",MAX(0, MAX(0, Z370*0.1) + MAX(0, (Z370-24000)*0.15) + MAX(0, (Z370-32333)*0.05) + MAX(0, (Z370-500000)*0.025) + MAX(0, (Z370-800000)*0.025) - AA370 - AB370))</f>
      </c>
      <c r="AD370" s="8">
        <f>IF(E370="","",AC370)</f>
      </c>
    </row>
    <row r="371" spans="1:30" x14ac:dyDescent="0.25">
      <c r="A371" s="6"/>
      <c r="B371" s="6"/>
      <c r="C371" s="6"/>
      <c r="F371" s="6"/>
      <c r="G371" s="6"/>
      <c r="L371" s="7"/>
      <c r="M371" s="7"/>
      <c r="N371" s="7"/>
      <c r="O371" s="7"/>
      <c r="P371" s="7"/>
      <c r="Q371" s="7"/>
      <c r="R371" s="7"/>
      <c r="S371" s="8">
        <f>IF(E371="","",SUM(L371:O371) + Q371 + R371)</f>
      </c>
      <c r="T371" s="8">
        <f>IF(E371="","",S371*0.0275)</f>
      </c>
      <c r="U371" s="8">
        <f>IF(E371="","",IF(S371&gt;0, MIN(S371*0.06, 6480), 0))</f>
      </c>
      <c r="V371" s="7"/>
      <c r="W371" s="7"/>
      <c r="X371" s="7"/>
      <c r="Y371" s="8">
        <f>IF(E371="","",S371*0.015)</f>
      </c>
      <c r="Z371" s="8">
        <f>IF(E371="","",MAX(0, S371 - T371 - U371 - V371 - W371 - X371 - Y371 - IF(J371="Yes", 150000, 0)))</f>
      </c>
      <c r="AA371" s="8">
        <f>IF(E371="","",IF(OR(L371&gt;0, E371&lt;&gt;""), 2400, 0))</f>
      </c>
      <c r="AB371" s="7"/>
      <c r="AC371" s="8">
        <f>IF(E371="","",MAX(0, MAX(0, Z371*0.1) + MAX(0, (Z371-24000)*0.15) + MAX(0, (Z371-32333)*0.05) + MAX(0, (Z371-500000)*0.025) + MAX(0, (Z371-800000)*0.025) - AA371 - AB371))</f>
      </c>
      <c r="AD371" s="8">
        <f>IF(E371="","",AC371)</f>
      </c>
    </row>
    <row r="372" spans="1:30" x14ac:dyDescent="0.25">
      <c r="A372" s="6"/>
      <c r="B372" s="6"/>
      <c r="C372" s="6"/>
      <c r="F372" s="6"/>
      <c r="G372" s="6"/>
      <c r="L372" s="7"/>
      <c r="M372" s="7"/>
      <c r="N372" s="7"/>
      <c r="O372" s="7"/>
      <c r="P372" s="7"/>
      <c r="Q372" s="7"/>
      <c r="R372" s="7"/>
      <c r="S372" s="8">
        <f>IF(E372="","",SUM(L372:O372) + Q372 + R372)</f>
      </c>
      <c r="T372" s="8">
        <f>IF(E372="","",S372*0.0275)</f>
      </c>
      <c r="U372" s="8">
        <f>IF(E372="","",IF(S372&gt;0, MIN(S372*0.06, 6480), 0))</f>
      </c>
      <c r="V372" s="7"/>
      <c r="W372" s="7"/>
      <c r="X372" s="7"/>
      <c r="Y372" s="8">
        <f>IF(E372="","",S372*0.015)</f>
      </c>
      <c r="Z372" s="8">
        <f>IF(E372="","",MAX(0, S372 - T372 - U372 - V372 - W372 - X372 - Y372 - IF(J372="Yes", 150000, 0)))</f>
      </c>
      <c r="AA372" s="8">
        <f>IF(E372="","",IF(OR(L372&gt;0, E372&lt;&gt;""), 2400, 0))</f>
      </c>
      <c r="AB372" s="7"/>
      <c r="AC372" s="8">
        <f>IF(E372="","",MAX(0, MAX(0, Z372*0.1) + MAX(0, (Z372-24000)*0.15) + MAX(0, (Z372-32333)*0.05) + MAX(0, (Z372-500000)*0.025) + MAX(0, (Z372-800000)*0.025) - AA372 - AB372))</f>
      </c>
      <c r="AD372" s="8">
        <f>IF(E372="","",AC372)</f>
      </c>
    </row>
    <row r="373" spans="1:30" x14ac:dyDescent="0.25">
      <c r="A373" s="6"/>
      <c r="B373" s="6"/>
      <c r="C373" s="6"/>
      <c r="F373" s="6"/>
      <c r="G373" s="6"/>
      <c r="L373" s="7"/>
      <c r="M373" s="7"/>
      <c r="N373" s="7"/>
      <c r="O373" s="7"/>
      <c r="P373" s="7"/>
      <c r="Q373" s="7"/>
      <c r="R373" s="7"/>
      <c r="S373" s="8">
        <f>IF(E373="","",SUM(L373:O373) + Q373 + R373)</f>
      </c>
      <c r="T373" s="8">
        <f>IF(E373="","",S373*0.0275)</f>
      </c>
      <c r="U373" s="8">
        <f>IF(E373="","",IF(S373&gt;0, MIN(S373*0.06, 6480), 0))</f>
      </c>
      <c r="V373" s="7"/>
      <c r="W373" s="7"/>
      <c r="X373" s="7"/>
      <c r="Y373" s="8">
        <f>IF(E373="","",S373*0.015)</f>
      </c>
      <c r="Z373" s="8">
        <f>IF(E373="","",MAX(0, S373 - T373 - U373 - V373 - W373 - X373 - Y373 - IF(J373="Yes", 150000, 0)))</f>
      </c>
      <c r="AA373" s="8">
        <f>IF(E373="","",IF(OR(L373&gt;0, E373&lt;&gt;""), 2400, 0))</f>
      </c>
      <c r="AB373" s="7"/>
      <c r="AC373" s="8">
        <f>IF(E373="","",MAX(0, MAX(0, Z373*0.1) + MAX(0, (Z373-24000)*0.15) + MAX(0, (Z373-32333)*0.05) + MAX(0, (Z373-500000)*0.025) + MAX(0, (Z373-800000)*0.025) - AA373 - AB373))</f>
      </c>
      <c r="AD373" s="8">
        <f>IF(E373="","",AC373)</f>
      </c>
    </row>
    <row r="374" spans="1:30" x14ac:dyDescent="0.25">
      <c r="A374" s="6"/>
      <c r="B374" s="6"/>
      <c r="C374" s="6"/>
      <c r="F374" s="6"/>
      <c r="G374" s="6"/>
      <c r="L374" s="7"/>
      <c r="M374" s="7"/>
      <c r="N374" s="7"/>
      <c r="O374" s="7"/>
      <c r="P374" s="7"/>
      <c r="Q374" s="7"/>
      <c r="R374" s="7"/>
      <c r="S374" s="8">
        <f>IF(E374="","",SUM(L374:O374) + Q374 + R374)</f>
      </c>
      <c r="T374" s="8">
        <f>IF(E374="","",S374*0.0275)</f>
      </c>
      <c r="U374" s="8">
        <f>IF(E374="","",IF(S374&gt;0, MIN(S374*0.06, 6480), 0))</f>
      </c>
      <c r="V374" s="7"/>
      <c r="W374" s="7"/>
      <c r="X374" s="7"/>
      <c r="Y374" s="8">
        <f>IF(E374="","",S374*0.015)</f>
      </c>
      <c r="Z374" s="8">
        <f>IF(E374="","",MAX(0, S374 - T374 - U374 - V374 - W374 - X374 - Y374 - IF(J374="Yes", 150000, 0)))</f>
      </c>
      <c r="AA374" s="8">
        <f>IF(E374="","",IF(OR(L374&gt;0, E374&lt;&gt;""), 2400, 0))</f>
      </c>
      <c r="AB374" s="7"/>
      <c r="AC374" s="8">
        <f>IF(E374="","",MAX(0, MAX(0, Z374*0.1) + MAX(0, (Z374-24000)*0.15) + MAX(0, (Z374-32333)*0.05) + MAX(0, (Z374-500000)*0.025) + MAX(0, (Z374-800000)*0.025) - AA374 - AB374))</f>
      </c>
      <c r="AD374" s="8">
        <f>IF(E374="","",AC374)</f>
      </c>
    </row>
    <row r="375" spans="1:30" x14ac:dyDescent="0.25">
      <c r="A375" s="6"/>
      <c r="B375" s="6"/>
      <c r="C375" s="6"/>
      <c r="F375" s="6"/>
      <c r="G375" s="6"/>
      <c r="L375" s="7"/>
      <c r="M375" s="7"/>
      <c r="N375" s="7"/>
      <c r="O375" s="7"/>
      <c r="P375" s="7"/>
      <c r="Q375" s="7"/>
      <c r="R375" s="7"/>
      <c r="S375" s="8">
        <f>IF(E375="","",SUM(L375:O375) + Q375 + R375)</f>
      </c>
      <c r="T375" s="8">
        <f>IF(E375="","",S375*0.0275)</f>
      </c>
      <c r="U375" s="8">
        <f>IF(E375="","",IF(S375&gt;0, MIN(S375*0.06, 6480), 0))</f>
      </c>
      <c r="V375" s="7"/>
      <c r="W375" s="7"/>
      <c r="X375" s="7"/>
      <c r="Y375" s="8">
        <f>IF(E375="","",S375*0.015)</f>
      </c>
      <c r="Z375" s="8">
        <f>IF(E375="","",MAX(0, S375 - T375 - U375 - V375 - W375 - X375 - Y375 - IF(J375="Yes", 150000, 0)))</f>
      </c>
      <c r="AA375" s="8">
        <f>IF(E375="","",IF(OR(L375&gt;0, E375&lt;&gt;""), 2400, 0))</f>
      </c>
      <c r="AB375" s="7"/>
      <c r="AC375" s="8">
        <f>IF(E375="","",MAX(0, MAX(0, Z375*0.1) + MAX(0, (Z375-24000)*0.15) + MAX(0, (Z375-32333)*0.05) + MAX(0, (Z375-500000)*0.025) + MAX(0, (Z375-800000)*0.025) - AA375 - AB375))</f>
      </c>
      <c r="AD375" s="8">
        <f>IF(E375="","",AC375)</f>
      </c>
    </row>
    <row r="376" spans="1:30" x14ac:dyDescent="0.25">
      <c r="A376" s="6"/>
      <c r="B376" s="6"/>
      <c r="C376" s="6"/>
      <c r="F376" s="6"/>
      <c r="G376" s="6"/>
      <c r="L376" s="7"/>
      <c r="M376" s="7"/>
      <c r="N376" s="7"/>
      <c r="O376" s="7"/>
      <c r="P376" s="7"/>
      <c r="Q376" s="7"/>
      <c r="R376" s="7"/>
      <c r="S376" s="8">
        <f>IF(E376="","",SUM(L376:O376) + Q376 + R376)</f>
      </c>
      <c r="T376" s="8">
        <f>IF(E376="","",S376*0.0275)</f>
      </c>
      <c r="U376" s="8">
        <f>IF(E376="","",IF(S376&gt;0, MIN(S376*0.06, 6480), 0))</f>
      </c>
      <c r="V376" s="7"/>
      <c r="W376" s="7"/>
      <c r="X376" s="7"/>
      <c r="Y376" s="8">
        <f>IF(E376="","",S376*0.015)</f>
      </c>
      <c r="Z376" s="8">
        <f>IF(E376="","",MAX(0, S376 - T376 - U376 - V376 - W376 - X376 - Y376 - IF(J376="Yes", 150000, 0)))</f>
      </c>
      <c r="AA376" s="8">
        <f>IF(E376="","",IF(OR(L376&gt;0, E376&lt;&gt;""), 2400, 0))</f>
      </c>
      <c r="AB376" s="7"/>
      <c r="AC376" s="8">
        <f>IF(E376="","",MAX(0, MAX(0, Z376*0.1) + MAX(0, (Z376-24000)*0.15) + MAX(0, (Z376-32333)*0.05) + MAX(0, (Z376-500000)*0.025) + MAX(0, (Z376-800000)*0.025) - AA376 - AB376))</f>
      </c>
      <c r="AD376" s="8">
        <f>IF(E376="","",AC376)</f>
      </c>
    </row>
    <row r="377" spans="1:30" x14ac:dyDescent="0.25">
      <c r="A377" s="6"/>
      <c r="B377" s="6"/>
      <c r="C377" s="6"/>
      <c r="F377" s="6"/>
      <c r="G377" s="6"/>
      <c r="L377" s="7"/>
      <c r="M377" s="7"/>
      <c r="N377" s="7"/>
      <c r="O377" s="7"/>
      <c r="P377" s="7"/>
      <c r="Q377" s="7"/>
      <c r="R377" s="7"/>
      <c r="S377" s="8">
        <f>IF(E377="","",SUM(L377:O377) + Q377 + R377)</f>
      </c>
      <c r="T377" s="8">
        <f>IF(E377="","",S377*0.0275)</f>
      </c>
      <c r="U377" s="8">
        <f>IF(E377="","",IF(S377&gt;0, MIN(S377*0.06, 6480), 0))</f>
      </c>
      <c r="V377" s="7"/>
      <c r="W377" s="7"/>
      <c r="X377" s="7"/>
      <c r="Y377" s="8">
        <f>IF(E377="","",S377*0.015)</f>
      </c>
      <c r="Z377" s="8">
        <f>IF(E377="","",MAX(0, S377 - T377 - U377 - V377 - W377 - X377 - Y377 - IF(J377="Yes", 150000, 0)))</f>
      </c>
      <c r="AA377" s="8">
        <f>IF(E377="","",IF(OR(L377&gt;0, E377&lt;&gt;""), 2400, 0))</f>
      </c>
      <c r="AB377" s="7"/>
      <c r="AC377" s="8">
        <f>IF(E377="","",MAX(0, MAX(0, Z377*0.1) + MAX(0, (Z377-24000)*0.15) + MAX(0, (Z377-32333)*0.05) + MAX(0, (Z377-500000)*0.025) + MAX(0, (Z377-800000)*0.025) - AA377 - AB377))</f>
      </c>
      <c r="AD377" s="8">
        <f>IF(E377="","",AC377)</f>
      </c>
    </row>
    <row r="378" spans="1:30" x14ac:dyDescent="0.25">
      <c r="A378" s="6"/>
      <c r="B378" s="6"/>
      <c r="C378" s="6"/>
      <c r="F378" s="6"/>
      <c r="G378" s="6"/>
      <c r="L378" s="7"/>
      <c r="M378" s="7"/>
      <c r="N378" s="7"/>
      <c r="O378" s="7"/>
      <c r="P378" s="7"/>
      <c r="Q378" s="7"/>
      <c r="R378" s="7"/>
      <c r="S378" s="8">
        <f>IF(E378="","",SUM(L378:O378) + Q378 + R378)</f>
      </c>
      <c r="T378" s="8">
        <f>IF(E378="","",S378*0.0275)</f>
      </c>
      <c r="U378" s="8">
        <f>IF(E378="","",IF(S378&gt;0, MIN(S378*0.06, 6480), 0))</f>
      </c>
      <c r="V378" s="7"/>
      <c r="W378" s="7"/>
      <c r="X378" s="7"/>
      <c r="Y378" s="8">
        <f>IF(E378="","",S378*0.015)</f>
      </c>
      <c r="Z378" s="8">
        <f>IF(E378="","",MAX(0, S378 - T378 - U378 - V378 - W378 - X378 - Y378 - IF(J378="Yes", 150000, 0)))</f>
      </c>
      <c r="AA378" s="8">
        <f>IF(E378="","",IF(OR(L378&gt;0, E378&lt;&gt;""), 2400, 0))</f>
      </c>
      <c r="AB378" s="7"/>
      <c r="AC378" s="8">
        <f>IF(E378="","",MAX(0, MAX(0, Z378*0.1) + MAX(0, (Z378-24000)*0.15) + MAX(0, (Z378-32333)*0.05) + MAX(0, (Z378-500000)*0.025) + MAX(0, (Z378-800000)*0.025) - AA378 - AB378))</f>
      </c>
      <c r="AD378" s="8">
        <f>IF(E378="","",AC378)</f>
      </c>
    </row>
    <row r="379" spans="1:30" x14ac:dyDescent="0.25">
      <c r="A379" s="6"/>
      <c r="B379" s="6"/>
      <c r="C379" s="6"/>
      <c r="F379" s="6"/>
      <c r="G379" s="6"/>
      <c r="L379" s="7"/>
      <c r="M379" s="7"/>
      <c r="N379" s="7"/>
      <c r="O379" s="7"/>
      <c r="P379" s="7"/>
      <c r="Q379" s="7"/>
      <c r="R379" s="7"/>
      <c r="S379" s="8">
        <f>IF(E379="","",SUM(L379:O379) + Q379 + R379)</f>
      </c>
      <c r="T379" s="8">
        <f>IF(E379="","",S379*0.0275)</f>
      </c>
      <c r="U379" s="8">
        <f>IF(E379="","",IF(S379&gt;0, MIN(S379*0.06, 6480), 0))</f>
      </c>
      <c r="V379" s="7"/>
      <c r="W379" s="7"/>
      <c r="X379" s="7"/>
      <c r="Y379" s="8">
        <f>IF(E379="","",S379*0.015)</f>
      </c>
      <c r="Z379" s="8">
        <f>IF(E379="","",MAX(0, S379 - T379 - U379 - V379 - W379 - X379 - Y379 - IF(J379="Yes", 150000, 0)))</f>
      </c>
      <c r="AA379" s="8">
        <f>IF(E379="","",IF(OR(L379&gt;0, E379&lt;&gt;""), 2400, 0))</f>
      </c>
      <c r="AB379" s="7"/>
      <c r="AC379" s="8">
        <f>IF(E379="","",MAX(0, MAX(0, Z379*0.1) + MAX(0, (Z379-24000)*0.15) + MAX(0, (Z379-32333)*0.05) + MAX(0, (Z379-500000)*0.025) + MAX(0, (Z379-800000)*0.025) - AA379 - AB379))</f>
      </c>
      <c r="AD379" s="8">
        <f>IF(E379="","",AC379)</f>
      </c>
    </row>
    <row r="380" spans="1:30" x14ac:dyDescent="0.25">
      <c r="A380" s="6"/>
      <c r="B380" s="6"/>
      <c r="C380" s="6"/>
      <c r="F380" s="6"/>
      <c r="G380" s="6"/>
      <c r="L380" s="7"/>
      <c r="M380" s="7"/>
      <c r="N380" s="7"/>
      <c r="O380" s="7"/>
      <c r="P380" s="7"/>
      <c r="Q380" s="7"/>
      <c r="R380" s="7"/>
      <c r="S380" s="8">
        <f>IF(E380="","",SUM(L380:O380) + Q380 + R380)</f>
      </c>
      <c r="T380" s="8">
        <f>IF(E380="","",S380*0.0275)</f>
      </c>
      <c r="U380" s="8">
        <f>IF(E380="","",IF(S380&gt;0, MIN(S380*0.06, 6480), 0))</f>
      </c>
      <c r="V380" s="7"/>
      <c r="W380" s="7"/>
      <c r="X380" s="7"/>
      <c r="Y380" s="8">
        <f>IF(E380="","",S380*0.015)</f>
      </c>
      <c r="Z380" s="8">
        <f>IF(E380="","",MAX(0, S380 - T380 - U380 - V380 - W380 - X380 - Y380 - IF(J380="Yes", 150000, 0)))</f>
      </c>
      <c r="AA380" s="8">
        <f>IF(E380="","",IF(OR(L380&gt;0, E380&lt;&gt;""), 2400, 0))</f>
      </c>
      <c r="AB380" s="7"/>
      <c r="AC380" s="8">
        <f>IF(E380="","",MAX(0, MAX(0, Z380*0.1) + MAX(0, (Z380-24000)*0.15) + MAX(0, (Z380-32333)*0.05) + MAX(0, (Z380-500000)*0.025) + MAX(0, (Z380-800000)*0.025) - AA380 - AB380))</f>
      </c>
      <c r="AD380" s="8">
        <f>IF(E380="","",AC380)</f>
      </c>
    </row>
    <row r="381" spans="1:30" x14ac:dyDescent="0.25">
      <c r="A381" s="6"/>
      <c r="B381" s="6"/>
      <c r="C381" s="6"/>
      <c r="F381" s="6"/>
      <c r="G381" s="6"/>
      <c r="L381" s="7"/>
      <c r="M381" s="7"/>
      <c r="N381" s="7"/>
      <c r="O381" s="7"/>
      <c r="P381" s="7"/>
      <c r="Q381" s="7"/>
      <c r="R381" s="7"/>
      <c r="S381" s="8">
        <f>IF(E381="","",SUM(L381:O381) + Q381 + R381)</f>
      </c>
      <c r="T381" s="8">
        <f>IF(E381="","",S381*0.0275)</f>
      </c>
      <c r="U381" s="8">
        <f>IF(E381="","",IF(S381&gt;0, MIN(S381*0.06, 6480), 0))</f>
      </c>
      <c r="V381" s="7"/>
      <c r="W381" s="7"/>
      <c r="X381" s="7"/>
      <c r="Y381" s="8">
        <f>IF(E381="","",S381*0.015)</f>
      </c>
      <c r="Z381" s="8">
        <f>IF(E381="","",MAX(0, S381 - T381 - U381 - V381 - W381 - X381 - Y381 - IF(J381="Yes", 150000, 0)))</f>
      </c>
      <c r="AA381" s="8">
        <f>IF(E381="","",IF(OR(L381&gt;0, E381&lt;&gt;""), 2400, 0))</f>
      </c>
      <c r="AB381" s="7"/>
      <c r="AC381" s="8">
        <f>IF(E381="","",MAX(0, MAX(0, Z381*0.1) + MAX(0, (Z381-24000)*0.15) + MAX(0, (Z381-32333)*0.05) + MAX(0, (Z381-500000)*0.025) + MAX(0, (Z381-800000)*0.025) - AA381 - AB381))</f>
      </c>
      <c r="AD381" s="8">
        <f>IF(E381="","",AC381)</f>
      </c>
    </row>
    <row r="382" spans="1:30" x14ac:dyDescent="0.25">
      <c r="A382" s="6"/>
      <c r="B382" s="6"/>
      <c r="C382" s="6"/>
      <c r="F382" s="6"/>
      <c r="G382" s="6"/>
      <c r="L382" s="7"/>
      <c r="M382" s="7"/>
      <c r="N382" s="7"/>
      <c r="O382" s="7"/>
      <c r="P382" s="7"/>
      <c r="Q382" s="7"/>
      <c r="R382" s="7"/>
      <c r="S382" s="8">
        <f>IF(E382="","",SUM(L382:O382) + Q382 + R382)</f>
      </c>
      <c r="T382" s="8">
        <f>IF(E382="","",S382*0.0275)</f>
      </c>
      <c r="U382" s="8">
        <f>IF(E382="","",IF(S382&gt;0, MIN(S382*0.06, 6480), 0))</f>
      </c>
      <c r="V382" s="7"/>
      <c r="W382" s="7"/>
      <c r="X382" s="7"/>
      <c r="Y382" s="8">
        <f>IF(E382="","",S382*0.015)</f>
      </c>
      <c r="Z382" s="8">
        <f>IF(E382="","",MAX(0, S382 - T382 - U382 - V382 - W382 - X382 - Y382 - IF(J382="Yes", 150000, 0)))</f>
      </c>
      <c r="AA382" s="8">
        <f>IF(E382="","",IF(OR(L382&gt;0, E382&lt;&gt;""), 2400, 0))</f>
      </c>
      <c r="AB382" s="7"/>
      <c r="AC382" s="8">
        <f>IF(E382="","",MAX(0, MAX(0, Z382*0.1) + MAX(0, (Z382-24000)*0.15) + MAX(0, (Z382-32333)*0.05) + MAX(0, (Z382-500000)*0.025) + MAX(0, (Z382-800000)*0.025) - AA382 - AB382))</f>
      </c>
      <c r="AD382" s="8">
        <f>IF(E382="","",AC382)</f>
      </c>
    </row>
    <row r="383" spans="1:30" x14ac:dyDescent="0.25">
      <c r="A383" s="6"/>
      <c r="B383" s="6"/>
      <c r="C383" s="6"/>
      <c r="F383" s="6"/>
      <c r="G383" s="6"/>
      <c r="L383" s="7"/>
      <c r="M383" s="7"/>
      <c r="N383" s="7"/>
      <c r="O383" s="7"/>
      <c r="P383" s="7"/>
      <c r="Q383" s="7"/>
      <c r="R383" s="7"/>
      <c r="S383" s="8">
        <f>IF(E383="","",SUM(L383:O383) + Q383 + R383)</f>
      </c>
      <c r="T383" s="8">
        <f>IF(E383="","",S383*0.0275)</f>
      </c>
      <c r="U383" s="8">
        <f>IF(E383="","",IF(S383&gt;0, MIN(S383*0.06, 6480), 0))</f>
      </c>
      <c r="V383" s="7"/>
      <c r="W383" s="7"/>
      <c r="X383" s="7"/>
      <c r="Y383" s="8">
        <f>IF(E383="","",S383*0.015)</f>
      </c>
      <c r="Z383" s="8">
        <f>IF(E383="","",MAX(0, S383 - T383 - U383 - V383 - W383 - X383 - Y383 - IF(J383="Yes", 150000, 0)))</f>
      </c>
      <c r="AA383" s="8">
        <f>IF(E383="","",IF(OR(L383&gt;0, E383&lt;&gt;""), 2400, 0))</f>
      </c>
      <c r="AB383" s="7"/>
      <c r="AC383" s="8">
        <f>IF(E383="","",MAX(0, MAX(0, Z383*0.1) + MAX(0, (Z383-24000)*0.15) + MAX(0, (Z383-32333)*0.05) + MAX(0, (Z383-500000)*0.025) + MAX(0, (Z383-800000)*0.025) - AA383 - AB383))</f>
      </c>
      <c r="AD383" s="8">
        <f>IF(E383="","",AC383)</f>
      </c>
    </row>
    <row r="384" spans="1:30" x14ac:dyDescent="0.25">
      <c r="A384" s="6"/>
      <c r="B384" s="6"/>
      <c r="C384" s="6"/>
      <c r="F384" s="6"/>
      <c r="G384" s="6"/>
      <c r="L384" s="7"/>
      <c r="M384" s="7"/>
      <c r="N384" s="7"/>
      <c r="O384" s="7"/>
      <c r="P384" s="7"/>
      <c r="Q384" s="7"/>
      <c r="R384" s="7"/>
      <c r="S384" s="8">
        <f>IF(E384="","",SUM(L384:O384) + Q384 + R384)</f>
      </c>
      <c r="T384" s="8">
        <f>IF(E384="","",S384*0.0275)</f>
      </c>
      <c r="U384" s="8">
        <f>IF(E384="","",IF(S384&gt;0, MIN(S384*0.06, 6480), 0))</f>
      </c>
      <c r="V384" s="7"/>
      <c r="W384" s="7"/>
      <c r="X384" s="7"/>
      <c r="Y384" s="8">
        <f>IF(E384="","",S384*0.015)</f>
      </c>
      <c r="Z384" s="8">
        <f>IF(E384="","",MAX(0, S384 - T384 - U384 - V384 - W384 - X384 - Y384 - IF(J384="Yes", 150000, 0)))</f>
      </c>
      <c r="AA384" s="8">
        <f>IF(E384="","",IF(OR(L384&gt;0, E384&lt;&gt;""), 2400, 0))</f>
      </c>
      <c r="AB384" s="7"/>
      <c r="AC384" s="8">
        <f>IF(E384="","",MAX(0, MAX(0, Z384*0.1) + MAX(0, (Z384-24000)*0.15) + MAX(0, (Z384-32333)*0.05) + MAX(0, (Z384-500000)*0.025) + MAX(0, (Z384-800000)*0.025) - AA384 - AB384))</f>
      </c>
      <c r="AD384" s="8">
        <f>IF(E384="","",AC384)</f>
      </c>
    </row>
    <row r="385" spans="1:30" x14ac:dyDescent="0.25">
      <c r="A385" s="6"/>
      <c r="B385" s="6"/>
      <c r="C385" s="6"/>
      <c r="F385" s="6"/>
      <c r="G385" s="6"/>
      <c r="L385" s="7"/>
      <c r="M385" s="7"/>
      <c r="N385" s="7"/>
      <c r="O385" s="7"/>
      <c r="P385" s="7"/>
      <c r="Q385" s="7"/>
      <c r="R385" s="7"/>
      <c r="S385" s="8">
        <f>IF(E385="","",SUM(L385:O385) + Q385 + R385)</f>
      </c>
      <c r="T385" s="8">
        <f>IF(E385="","",S385*0.0275)</f>
      </c>
      <c r="U385" s="8">
        <f>IF(E385="","",IF(S385&gt;0, MIN(S385*0.06, 6480), 0))</f>
      </c>
      <c r="V385" s="7"/>
      <c r="W385" s="7"/>
      <c r="X385" s="7"/>
      <c r="Y385" s="8">
        <f>IF(E385="","",S385*0.015)</f>
      </c>
      <c r="Z385" s="8">
        <f>IF(E385="","",MAX(0, S385 - T385 - U385 - V385 - W385 - X385 - Y385 - IF(J385="Yes", 150000, 0)))</f>
      </c>
      <c r="AA385" s="8">
        <f>IF(E385="","",IF(OR(L385&gt;0, E385&lt;&gt;""), 2400, 0))</f>
      </c>
      <c r="AB385" s="7"/>
      <c r="AC385" s="8">
        <f>IF(E385="","",MAX(0, MAX(0, Z385*0.1) + MAX(0, (Z385-24000)*0.15) + MAX(0, (Z385-32333)*0.05) + MAX(0, (Z385-500000)*0.025) + MAX(0, (Z385-800000)*0.025) - AA385 - AB385))</f>
      </c>
      <c r="AD385" s="8">
        <f>IF(E385="","",AC385)</f>
      </c>
    </row>
    <row r="386" spans="1:30" x14ac:dyDescent="0.25">
      <c r="A386" s="6"/>
      <c r="B386" s="6"/>
      <c r="C386" s="6"/>
      <c r="F386" s="6"/>
      <c r="G386" s="6"/>
      <c r="L386" s="7"/>
      <c r="M386" s="7"/>
      <c r="N386" s="7"/>
      <c r="O386" s="7"/>
      <c r="P386" s="7"/>
      <c r="Q386" s="7"/>
      <c r="R386" s="7"/>
      <c r="S386" s="8">
        <f>IF(E386="","",SUM(L386:O386) + Q386 + R386)</f>
      </c>
      <c r="T386" s="8">
        <f>IF(E386="","",S386*0.0275)</f>
      </c>
      <c r="U386" s="8">
        <f>IF(E386="","",IF(S386&gt;0, MIN(S386*0.06, 6480), 0))</f>
      </c>
      <c r="V386" s="7"/>
      <c r="W386" s="7"/>
      <c r="X386" s="7"/>
      <c r="Y386" s="8">
        <f>IF(E386="","",S386*0.015)</f>
      </c>
      <c r="Z386" s="8">
        <f>IF(E386="","",MAX(0, S386 - T386 - U386 - V386 - W386 - X386 - Y386 - IF(J386="Yes", 150000, 0)))</f>
      </c>
      <c r="AA386" s="8">
        <f>IF(E386="","",IF(OR(L386&gt;0, E386&lt;&gt;""), 2400, 0))</f>
      </c>
      <c r="AB386" s="7"/>
      <c r="AC386" s="8">
        <f>IF(E386="","",MAX(0, MAX(0, Z386*0.1) + MAX(0, (Z386-24000)*0.15) + MAX(0, (Z386-32333)*0.05) + MAX(0, (Z386-500000)*0.025) + MAX(0, (Z386-800000)*0.025) - AA386 - AB386))</f>
      </c>
      <c r="AD386" s="8">
        <f>IF(E386="","",AC386)</f>
      </c>
    </row>
    <row r="387" spans="1:30" x14ac:dyDescent="0.25">
      <c r="A387" s="6"/>
      <c r="B387" s="6"/>
      <c r="C387" s="6"/>
      <c r="F387" s="6"/>
      <c r="G387" s="6"/>
      <c r="L387" s="7"/>
      <c r="M387" s="7"/>
      <c r="N387" s="7"/>
      <c r="O387" s="7"/>
      <c r="P387" s="7"/>
      <c r="Q387" s="7"/>
      <c r="R387" s="7"/>
      <c r="S387" s="8">
        <f>IF(E387="","",SUM(L387:O387) + Q387 + R387)</f>
      </c>
      <c r="T387" s="8">
        <f>IF(E387="","",S387*0.0275)</f>
      </c>
      <c r="U387" s="8">
        <f>IF(E387="","",IF(S387&gt;0, MIN(S387*0.06, 6480), 0))</f>
      </c>
      <c r="V387" s="7"/>
      <c r="W387" s="7"/>
      <c r="X387" s="7"/>
      <c r="Y387" s="8">
        <f>IF(E387="","",S387*0.015)</f>
      </c>
      <c r="Z387" s="8">
        <f>IF(E387="","",MAX(0, S387 - T387 - U387 - V387 - W387 - X387 - Y387 - IF(J387="Yes", 150000, 0)))</f>
      </c>
      <c r="AA387" s="8">
        <f>IF(E387="","",IF(OR(L387&gt;0, E387&lt;&gt;""), 2400, 0))</f>
      </c>
      <c r="AB387" s="7"/>
      <c r="AC387" s="8">
        <f>IF(E387="","",MAX(0, MAX(0, Z387*0.1) + MAX(0, (Z387-24000)*0.15) + MAX(0, (Z387-32333)*0.05) + MAX(0, (Z387-500000)*0.025) + MAX(0, (Z387-800000)*0.025) - AA387 - AB387))</f>
      </c>
      <c r="AD387" s="8">
        <f>IF(E387="","",AC387)</f>
      </c>
    </row>
    <row r="388" spans="1:30" x14ac:dyDescent="0.25">
      <c r="A388" s="6"/>
      <c r="B388" s="6"/>
      <c r="C388" s="6"/>
      <c r="F388" s="6"/>
      <c r="G388" s="6"/>
      <c r="L388" s="7"/>
      <c r="M388" s="7"/>
      <c r="N388" s="7"/>
      <c r="O388" s="7"/>
      <c r="P388" s="7"/>
      <c r="Q388" s="7"/>
      <c r="R388" s="7"/>
      <c r="S388" s="8">
        <f>IF(E388="","",SUM(L388:O388) + Q388 + R388)</f>
      </c>
      <c r="T388" s="8">
        <f>IF(E388="","",S388*0.0275)</f>
      </c>
      <c r="U388" s="8">
        <f>IF(E388="","",IF(S388&gt;0, MIN(S388*0.06, 6480), 0))</f>
      </c>
      <c r="V388" s="7"/>
      <c r="W388" s="7"/>
      <c r="X388" s="7"/>
      <c r="Y388" s="8">
        <f>IF(E388="","",S388*0.015)</f>
      </c>
      <c r="Z388" s="8">
        <f>IF(E388="","",MAX(0, S388 - T388 - U388 - V388 - W388 - X388 - Y388 - IF(J388="Yes", 150000, 0)))</f>
      </c>
      <c r="AA388" s="8">
        <f>IF(E388="","",IF(OR(L388&gt;0, E388&lt;&gt;""), 2400, 0))</f>
      </c>
      <c r="AB388" s="7"/>
      <c r="AC388" s="8">
        <f>IF(E388="","",MAX(0, MAX(0, Z388*0.1) + MAX(0, (Z388-24000)*0.15) + MAX(0, (Z388-32333)*0.05) + MAX(0, (Z388-500000)*0.025) + MAX(0, (Z388-800000)*0.025) - AA388 - AB388))</f>
      </c>
      <c r="AD388" s="8">
        <f>IF(E388="","",AC388)</f>
      </c>
    </row>
    <row r="389" spans="1:30" x14ac:dyDescent="0.25">
      <c r="A389" s="6"/>
      <c r="B389" s="6"/>
      <c r="C389" s="6"/>
      <c r="F389" s="6"/>
      <c r="G389" s="6"/>
      <c r="L389" s="7"/>
      <c r="M389" s="7"/>
      <c r="N389" s="7"/>
      <c r="O389" s="7"/>
      <c r="P389" s="7"/>
      <c r="Q389" s="7"/>
      <c r="R389" s="7"/>
      <c r="S389" s="8">
        <f>IF(E389="","",SUM(L389:O389) + Q389 + R389)</f>
      </c>
      <c r="T389" s="8">
        <f>IF(E389="","",S389*0.0275)</f>
      </c>
      <c r="U389" s="8">
        <f>IF(E389="","",IF(S389&gt;0, MIN(S389*0.06, 6480), 0))</f>
      </c>
      <c r="V389" s="7"/>
      <c r="W389" s="7"/>
      <c r="X389" s="7"/>
      <c r="Y389" s="8">
        <f>IF(E389="","",S389*0.015)</f>
      </c>
      <c r="Z389" s="8">
        <f>IF(E389="","",MAX(0, S389 - T389 - U389 - V389 - W389 - X389 - Y389 - IF(J389="Yes", 150000, 0)))</f>
      </c>
      <c r="AA389" s="8">
        <f>IF(E389="","",IF(OR(L389&gt;0, E389&lt;&gt;""), 2400, 0))</f>
      </c>
      <c r="AB389" s="7"/>
      <c r="AC389" s="8">
        <f>IF(E389="","",MAX(0, MAX(0, Z389*0.1) + MAX(0, (Z389-24000)*0.15) + MAX(0, (Z389-32333)*0.05) + MAX(0, (Z389-500000)*0.025) + MAX(0, (Z389-800000)*0.025) - AA389 - AB389))</f>
      </c>
      <c r="AD389" s="8">
        <f>IF(E389="","",AC389)</f>
      </c>
    </row>
    <row r="390" spans="1:30" x14ac:dyDescent="0.25">
      <c r="A390" s="6"/>
      <c r="B390" s="6"/>
      <c r="C390" s="6"/>
      <c r="F390" s="6"/>
      <c r="G390" s="6"/>
      <c r="L390" s="7"/>
      <c r="M390" s="7"/>
      <c r="N390" s="7"/>
      <c r="O390" s="7"/>
      <c r="P390" s="7"/>
      <c r="Q390" s="7"/>
      <c r="R390" s="7"/>
      <c r="S390" s="8">
        <f>IF(E390="","",SUM(L390:O390) + Q390 + R390)</f>
      </c>
      <c r="T390" s="8">
        <f>IF(E390="","",S390*0.0275)</f>
      </c>
      <c r="U390" s="8">
        <f>IF(E390="","",IF(S390&gt;0, MIN(S390*0.06, 6480), 0))</f>
      </c>
      <c r="V390" s="7"/>
      <c r="W390" s="7"/>
      <c r="X390" s="7"/>
      <c r="Y390" s="8">
        <f>IF(E390="","",S390*0.015)</f>
      </c>
      <c r="Z390" s="8">
        <f>IF(E390="","",MAX(0, S390 - T390 - U390 - V390 - W390 - X390 - Y390 - IF(J390="Yes", 150000, 0)))</f>
      </c>
      <c r="AA390" s="8">
        <f>IF(E390="","",IF(OR(L390&gt;0, E390&lt;&gt;""), 2400, 0))</f>
      </c>
      <c r="AB390" s="7"/>
      <c r="AC390" s="8">
        <f>IF(E390="","",MAX(0, MAX(0, Z390*0.1) + MAX(0, (Z390-24000)*0.15) + MAX(0, (Z390-32333)*0.05) + MAX(0, (Z390-500000)*0.025) + MAX(0, (Z390-800000)*0.025) - AA390 - AB390))</f>
      </c>
      <c r="AD390" s="8">
        <f>IF(E390="","",AC390)</f>
      </c>
    </row>
    <row r="391" spans="1:30" x14ac:dyDescent="0.25">
      <c r="A391" s="6"/>
      <c r="B391" s="6"/>
      <c r="C391" s="6"/>
      <c r="F391" s="6"/>
      <c r="G391" s="6"/>
      <c r="L391" s="7"/>
      <c r="M391" s="7"/>
      <c r="N391" s="7"/>
      <c r="O391" s="7"/>
      <c r="P391" s="7"/>
      <c r="Q391" s="7"/>
      <c r="R391" s="7"/>
      <c r="S391" s="8">
        <f>IF(E391="","",SUM(L391:O391) + Q391 + R391)</f>
      </c>
      <c r="T391" s="8">
        <f>IF(E391="","",S391*0.0275)</f>
      </c>
      <c r="U391" s="8">
        <f>IF(E391="","",IF(S391&gt;0, MIN(S391*0.06, 6480), 0))</f>
      </c>
      <c r="V391" s="7"/>
      <c r="W391" s="7"/>
      <c r="X391" s="7"/>
      <c r="Y391" s="8">
        <f>IF(E391="","",S391*0.015)</f>
      </c>
      <c r="Z391" s="8">
        <f>IF(E391="","",MAX(0, S391 - T391 - U391 - V391 - W391 - X391 - Y391 - IF(J391="Yes", 150000, 0)))</f>
      </c>
      <c r="AA391" s="8">
        <f>IF(E391="","",IF(OR(L391&gt;0, E391&lt;&gt;""), 2400, 0))</f>
      </c>
      <c r="AB391" s="7"/>
      <c r="AC391" s="8">
        <f>IF(E391="","",MAX(0, MAX(0, Z391*0.1) + MAX(0, (Z391-24000)*0.15) + MAX(0, (Z391-32333)*0.05) + MAX(0, (Z391-500000)*0.025) + MAX(0, (Z391-800000)*0.025) - AA391 - AB391))</f>
      </c>
      <c r="AD391" s="8">
        <f>IF(E391="","",AC391)</f>
      </c>
    </row>
    <row r="392" spans="1:30" x14ac:dyDescent="0.25">
      <c r="A392" s="6"/>
      <c r="B392" s="6"/>
      <c r="C392" s="6"/>
      <c r="F392" s="6"/>
      <c r="G392" s="6"/>
      <c r="L392" s="7"/>
      <c r="M392" s="7"/>
      <c r="N392" s="7"/>
      <c r="O392" s="7"/>
      <c r="P392" s="7"/>
      <c r="Q392" s="7"/>
      <c r="R392" s="7"/>
      <c r="S392" s="8">
        <f>IF(E392="","",SUM(L392:O392) + Q392 + R392)</f>
      </c>
      <c r="T392" s="8">
        <f>IF(E392="","",S392*0.0275)</f>
      </c>
      <c r="U392" s="8">
        <f>IF(E392="","",IF(S392&gt;0, MIN(S392*0.06, 6480), 0))</f>
      </c>
      <c r="V392" s="7"/>
      <c r="W392" s="7"/>
      <c r="X392" s="7"/>
      <c r="Y392" s="8">
        <f>IF(E392="","",S392*0.015)</f>
      </c>
      <c r="Z392" s="8">
        <f>IF(E392="","",MAX(0, S392 - T392 - U392 - V392 - W392 - X392 - Y392 - IF(J392="Yes", 150000, 0)))</f>
      </c>
      <c r="AA392" s="8">
        <f>IF(E392="","",IF(OR(L392&gt;0, E392&lt;&gt;""), 2400, 0))</f>
      </c>
      <c r="AB392" s="7"/>
      <c r="AC392" s="8">
        <f>IF(E392="","",MAX(0, MAX(0, Z392*0.1) + MAX(0, (Z392-24000)*0.15) + MAX(0, (Z392-32333)*0.05) + MAX(0, (Z392-500000)*0.025) + MAX(0, (Z392-800000)*0.025) - AA392 - AB392))</f>
      </c>
      <c r="AD392" s="8">
        <f>IF(E392="","",AC392)</f>
      </c>
    </row>
    <row r="393" spans="1:30" x14ac:dyDescent="0.25">
      <c r="A393" s="6"/>
      <c r="B393" s="6"/>
      <c r="C393" s="6"/>
      <c r="F393" s="6"/>
      <c r="G393" s="6"/>
      <c r="L393" s="7"/>
      <c r="M393" s="7"/>
      <c r="N393" s="7"/>
      <c r="O393" s="7"/>
      <c r="P393" s="7"/>
      <c r="Q393" s="7"/>
      <c r="R393" s="7"/>
      <c r="S393" s="8">
        <f>IF(E393="","",SUM(L393:O393) + Q393 + R393)</f>
      </c>
      <c r="T393" s="8">
        <f>IF(E393="","",S393*0.0275)</f>
      </c>
      <c r="U393" s="8">
        <f>IF(E393="","",IF(S393&gt;0, MIN(S393*0.06, 6480), 0))</f>
      </c>
      <c r="V393" s="7"/>
      <c r="W393" s="7"/>
      <c r="X393" s="7"/>
      <c r="Y393" s="8">
        <f>IF(E393="","",S393*0.015)</f>
      </c>
      <c r="Z393" s="8">
        <f>IF(E393="","",MAX(0, S393 - T393 - U393 - V393 - W393 - X393 - Y393 - IF(J393="Yes", 150000, 0)))</f>
      </c>
      <c r="AA393" s="8">
        <f>IF(E393="","",IF(OR(L393&gt;0, E393&lt;&gt;""), 2400, 0))</f>
      </c>
      <c r="AB393" s="7"/>
      <c r="AC393" s="8">
        <f>IF(E393="","",MAX(0, MAX(0, Z393*0.1) + MAX(0, (Z393-24000)*0.15) + MAX(0, (Z393-32333)*0.05) + MAX(0, (Z393-500000)*0.025) + MAX(0, (Z393-800000)*0.025) - AA393 - AB393))</f>
      </c>
      <c r="AD393" s="8">
        <f>IF(E393="","",AC393)</f>
      </c>
    </row>
    <row r="394" spans="1:30" x14ac:dyDescent="0.25">
      <c r="A394" s="6"/>
      <c r="B394" s="6"/>
      <c r="C394" s="6"/>
      <c r="F394" s="6"/>
      <c r="G394" s="6"/>
      <c r="L394" s="7"/>
      <c r="M394" s="7"/>
      <c r="N394" s="7"/>
      <c r="O394" s="7"/>
      <c r="P394" s="7"/>
      <c r="Q394" s="7"/>
      <c r="R394" s="7"/>
      <c r="S394" s="8">
        <f>IF(E394="","",SUM(L394:O394) + Q394 + R394)</f>
      </c>
      <c r="T394" s="8">
        <f>IF(E394="","",S394*0.0275)</f>
      </c>
      <c r="U394" s="8">
        <f>IF(E394="","",IF(S394&gt;0, MIN(S394*0.06, 6480), 0))</f>
      </c>
      <c r="V394" s="7"/>
      <c r="W394" s="7"/>
      <c r="X394" s="7"/>
      <c r="Y394" s="8">
        <f>IF(E394="","",S394*0.015)</f>
      </c>
      <c r="Z394" s="8">
        <f>IF(E394="","",MAX(0, S394 - T394 - U394 - V394 - W394 - X394 - Y394 - IF(J394="Yes", 150000, 0)))</f>
      </c>
      <c r="AA394" s="8">
        <f>IF(E394="","",IF(OR(L394&gt;0, E394&lt;&gt;""), 2400, 0))</f>
      </c>
      <c r="AB394" s="7"/>
      <c r="AC394" s="8">
        <f>IF(E394="","",MAX(0, MAX(0, Z394*0.1) + MAX(0, (Z394-24000)*0.15) + MAX(0, (Z394-32333)*0.05) + MAX(0, (Z394-500000)*0.025) + MAX(0, (Z394-800000)*0.025) - AA394 - AB394))</f>
      </c>
      <c r="AD394" s="8">
        <f>IF(E394="","",AC394)</f>
      </c>
    </row>
    <row r="395" spans="1:30" x14ac:dyDescent="0.25">
      <c r="A395" s="6"/>
      <c r="B395" s="6"/>
      <c r="C395" s="6"/>
      <c r="F395" s="6"/>
      <c r="G395" s="6"/>
      <c r="L395" s="7"/>
      <c r="M395" s="7"/>
      <c r="N395" s="7"/>
      <c r="O395" s="7"/>
      <c r="P395" s="7"/>
      <c r="Q395" s="7"/>
      <c r="R395" s="7"/>
      <c r="S395" s="8">
        <f>IF(E395="","",SUM(L395:O395) + Q395 + R395)</f>
      </c>
      <c r="T395" s="8">
        <f>IF(E395="","",S395*0.0275)</f>
      </c>
      <c r="U395" s="8">
        <f>IF(E395="","",IF(S395&gt;0, MIN(S395*0.06, 6480), 0))</f>
      </c>
      <c r="V395" s="7"/>
      <c r="W395" s="7"/>
      <c r="X395" s="7"/>
      <c r="Y395" s="8">
        <f>IF(E395="","",S395*0.015)</f>
      </c>
      <c r="Z395" s="8">
        <f>IF(E395="","",MAX(0, S395 - T395 - U395 - V395 - W395 - X395 - Y395 - IF(J395="Yes", 150000, 0)))</f>
      </c>
      <c r="AA395" s="8">
        <f>IF(E395="","",IF(OR(L395&gt;0, E395&lt;&gt;""), 2400, 0))</f>
      </c>
      <c r="AB395" s="7"/>
      <c r="AC395" s="8">
        <f>IF(E395="","",MAX(0, MAX(0, Z395*0.1) + MAX(0, (Z395-24000)*0.15) + MAX(0, (Z395-32333)*0.05) + MAX(0, (Z395-500000)*0.025) + MAX(0, (Z395-800000)*0.025) - AA395 - AB395))</f>
      </c>
      <c r="AD395" s="8">
        <f>IF(E395="","",AC395)</f>
      </c>
    </row>
    <row r="396" spans="1:30" x14ac:dyDescent="0.25">
      <c r="A396" s="6"/>
      <c r="B396" s="6"/>
      <c r="C396" s="6"/>
      <c r="F396" s="6"/>
      <c r="G396" s="6"/>
      <c r="L396" s="7"/>
      <c r="M396" s="7"/>
      <c r="N396" s="7"/>
      <c r="O396" s="7"/>
      <c r="P396" s="7"/>
      <c r="Q396" s="7"/>
      <c r="R396" s="7"/>
      <c r="S396" s="8">
        <f>IF(E396="","",SUM(L396:O396) + Q396 + R396)</f>
      </c>
      <c r="T396" s="8">
        <f>IF(E396="","",S396*0.0275)</f>
      </c>
      <c r="U396" s="8">
        <f>IF(E396="","",IF(S396&gt;0, MIN(S396*0.06, 6480), 0))</f>
      </c>
      <c r="V396" s="7"/>
      <c r="W396" s="7"/>
      <c r="X396" s="7"/>
      <c r="Y396" s="8">
        <f>IF(E396="","",S396*0.015)</f>
      </c>
      <c r="Z396" s="8">
        <f>IF(E396="","",MAX(0, S396 - T396 - U396 - V396 - W396 - X396 - Y396 - IF(J396="Yes", 150000, 0)))</f>
      </c>
      <c r="AA396" s="8">
        <f>IF(E396="","",IF(OR(L396&gt;0, E396&lt;&gt;""), 2400, 0))</f>
      </c>
      <c r="AB396" s="7"/>
      <c r="AC396" s="8">
        <f>IF(E396="","",MAX(0, MAX(0, Z396*0.1) + MAX(0, (Z396-24000)*0.15) + MAX(0, (Z396-32333)*0.05) + MAX(0, (Z396-500000)*0.025) + MAX(0, (Z396-800000)*0.025) - AA396 - AB396))</f>
      </c>
      <c r="AD396" s="8">
        <f>IF(E396="","",AC396)</f>
      </c>
    </row>
    <row r="397" spans="1:30" x14ac:dyDescent="0.25">
      <c r="A397" s="6"/>
      <c r="B397" s="6"/>
      <c r="C397" s="6"/>
      <c r="F397" s="6"/>
      <c r="G397" s="6"/>
      <c r="L397" s="7"/>
      <c r="M397" s="7"/>
      <c r="N397" s="7"/>
      <c r="O397" s="7"/>
      <c r="P397" s="7"/>
      <c r="Q397" s="7"/>
      <c r="R397" s="7"/>
      <c r="S397" s="8">
        <f>IF(E397="","",SUM(L397:O397) + Q397 + R397)</f>
      </c>
      <c r="T397" s="8">
        <f>IF(E397="","",S397*0.0275)</f>
      </c>
      <c r="U397" s="8">
        <f>IF(E397="","",IF(S397&gt;0, MIN(S397*0.06, 6480), 0))</f>
      </c>
      <c r="V397" s="7"/>
      <c r="W397" s="7"/>
      <c r="X397" s="7"/>
      <c r="Y397" s="8">
        <f>IF(E397="","",S397*0.015)</f>
      </c>
      <c r="Z397" s="8">
        <f>IF(E397="","",MAX(0, S397 - T397 - U397 - V397 - W397 - X397 - Y397 - IF(J397="Yes", 150000, 0)))</f>
      </c>
      <c r="AA397" s="8">
        <f>IF(E397="","",IF(OR(L397&gt;0, E397&lt;&gt;""), 2400, 0))</f>
      </c>
      <c r="AB397" s="7"/>
      <c r="AC397" s="8">
        <f>IF(E397="","",MAX(0, MAX(0, Z397*0.1) + MAX(0, (Z397-24000)*0.15) + MAX(0, (Z397-32333)*0.05) + MAX(0, (Z397-500000)*0.025) + MAX(0, (Z397-800000)*0.025) - AA397 - AB397))</f>
      </c>
      <c r="AD397" s="8">
        <f>IF(E397="","",AC397)</f>
      </c>
    </row>
    <row r="398" spans="1:30" x14ac:dyDescent="0.25">
      <c r="A398" s="6"/>
      <c r="B398" s="6"/>
      <c r="C398" s="6"/>
      <c r="F398" s="6"/>
      <c r="G398" s="6"/>
      <c r="L398" s="7"/>
      <c r="M398" s="7"/>
      <c r="N398" s="7"/>
      <c r="O398" s="7"/>
      <c r="P398" s="7"/>
      <c r="Q398" s="7"/>
      <c r="R398" s="7"/>
      <c r="S398" s="8">
        <f>IF(E398="","",SUM(L398:O398) + Q398 + R398)</f>
      </c>
      <c r="T398" s="8">
        <f>IF(E398="","",S398*0.0275)</f>
      </c>
      <c r="U398" s="8">
        <f>IF(E398="","",IF(S398&gt;0, MIN(S398*0.06, 6480), 0))</f>
      </c>
      <c r="V398" s="7"/>
      <c r="W398" s="7"/>
      <c r="X398" s="7"/>
      <c r="Y398" s="8">
        <f>IF(E398="","",S398*0.015)</f>
      </c>
      <c r="Z398" s="8">
        <f>IF(E398="","",MAX(0, S398 - T398 - U398 - V398 - W398 - X398 - Y398 - IF(J398="Yes", 150000, 0)))</f>
      </c>
      <c r="AA398" s="8">
        <f>IF(E398="","",IF(OR(L398&gt;0, E398&lt;&gt;""), 2400, 0))</f>
      </c>
      <c r="AB398" s="7"/>
      <c r="AC398" s="8">
        <f>IF(E398="","",MAX(0, MAX(0, Z398*0.1) + MAX(0, (Z398-24000)*0.15) + MAX(0, (Z398-32333)*0.05) + MAX(0, (Z398-500000)*0.025) + MAX(0, (Z398-800000)*0.025) - AA398 - AB398))</f>
      </c>
      <c r="AD398" s="8">
        <f>IF(E398="","",AC398)</f>
      </c>
    </row>
    <row r="399" spans="1:30" x14ac:dyDescent="0.25">
      <c r="A399" s="6"/>
      <c r="B399" s="6"/>
      <c r="C399" s="6"/>
      <c r="F399" s="6"/>
      <c r="G399" s="6"/>
      <c r="L399" s="7"/>
      <c r="M399" s="7"/>
      <c r="N399" s="7"/>
      <c r="O399" s="7"/>
      <c r="P399" s="7"/>
      <c r="Q399" s="7"/>
      <c r="R399" s="7"/>
      <c r="S399" s="8">
        <f>IF(E399="","",SUM(L399:O399) + Q399 + R399)</f>
      </c>
      <c r="T399" s="8">
        <f>IF(E399="","",S399*0.0275)</f>
      </c>
      <c r="U399" s="8">
        <f>IF(E399="","",IF(S399&gt;0, MIN(S399*0.06, 6480), 0))</f>
      </c>
      <c r="V399" s="7"/>
      <c r="W399" s="7"/>
      <c r="X399" s="7"/>
      <c r="Y399" s="8">
        <f>IF(E399="","",S399*0.015)</f>
      </c>
      <c r="Z399" s="8">
        <f>IF(E399="","",MAX(0, S399 - T399 - U399 - V399 - W399 - X399 - Y399 - IF(J399="Yes", 150000, 0)))</f>
      </c>
      <c r="AA399" s="8">
        <f>IF(E399="","",IF(OR(L399&gt;0, E399&lt;&gt;""), 2400, 0))</f>
      </c>
      <c r="AB399" s="7"/>
      <c r="AC399" s="8">
        <f>IF(E399="","",MAX(0, MAX(0, Z399*0.1) + MAX(0, (Z399-24000)*0.15) + MAX(0, (Z399-32333)*0.05) + MAX(0, (Z399-500000)*0.025) + MAX(0, (Z399-800000)*0.025) - AA399 - AB399))</f>
      </c>
      <c r="AD399" s="8">
        <f>IF(E399="","",AC399)</f>
      </c>
    </row>
    <row r="400" spans="1:30" x14ac:dyDescent="0.25">
      <c r="A400" s="6"/>
      <c r="B400" s="6"/>
      <c r="C400" s="6"/>
      <c r="F400" s="6"/>
      <c r="G400" s="6"/>
      <c r="L400" s="7"/>
      <c r="M400" s="7"/>
      <c r="N400" s="7"/>
      <c r="O400" s="7"/>
      <c r="P400" s="7"/>
      <c r="Q400" s="7"/>
      <c r="R400" s="7"/>
      <c r="S400" s="8">
        <f>IF(E400="","",SUM(L400:O400) + Q400 + R400)</f>
      </c>
      <c r="T400" s="8">
        <f>IF(E400="","",S400*0.0275)</f>
      </c>
      <c r="U400" s="8">
        <f>IF(E400="","",IF(S400&gt;0, MIN(S400*0.06, 6480), 0))</f>
      </c>
      <c r="V400" s="7"/>
      <c r="W400" s="7"/>
      <c r="X400" s="7"/>
      <c r="Y400" s="8">
        <f>IF(E400="","",S400*0.015)</f>
      </c>
      <c r="Z400" s="8">
        <f>IF(E400="","",MAX(0, S400 - T400 - U400 - V400 - W400 - X400 - Y400 - IF(J400="Yes", 150000, 0)))</f>
      </c>
      <c r="AA400" s="8">
        <f>IF(E400="","",IF(OR(L400&gt;0, E400&lt;&gt;""), 2400, 0))</f>
      </c>
      <c r="AB400" s="7"/>
      <c r="AC400" s="8">
        <f>IF(E400="","",MAX(0, MAX(0, Z400*0.1) + MAX(0, (Z400-24000)*0.15) + MAX(0, (Z400-32333)*0.05) + MAX(0, (Z400-500000)*0.025) + MAX(0, (Z400-800000)*0.025) - AA400 - AB400))</f>
      </c>
      <c r="AD400" s="8">
        <f>IF(E400="","",AC400)</f>
      </c>
    </row>
    <row r="401" spans="1:30" x14ac:dyDescent="0.25">
      <c r="A401" s="6"/>
      <c r="B401" s="6"/>
      <c r="C401" s="6"/>
      <c r="F401" s="6"/>
      <c r="G401" s="6"/>
      <c r="L401" s="7"/>
      <c r="M401" s="7"/>
      <c r="N401" s="7"/>
      <c r="O401" s="7"/>
      <c r="P401" s="7"/>
      <c r="Q401" s="7"/>
      <c r="R401" s="7"/>
      <c r="S401" s="8">
        <f>IF(E401="","",SUM(L401:O401) + Q401 + R401)</f>
      </c>
      <c r="T401" s="8">
        <f>IF(E401="","",S401*0.0275)</f>
      </c>
      <c r="U401" s="8">
        <f>IF(E401="","",IF(S401&gt;0, MIN(S401*0.06, 6480), 0))</f>
      </c>
      <c r="V401" s="7"/>
      <c r="W401" s="7"/>
      <c r="X401" s="7"/>
      <c r="Y401" s="8">
        <f>IF(E401="","",S401*0.015)</f>
      </c>
      <c r="Z401" s="8">
        <f>IF(E401="","",MAX(0, S401 - T401 - U401 - V401 - W401 - X401 - Y401 - IF(J401="Yes", 150000, 0)))</f>
      </c>
      <c r="AA401" s="8">
        <f>IF(E401="","",IF(OR(L401&gt;0, E401&lt;&gt;""), 2400, 0))</f>
      </c>
      <c r="AB401" s="7"/>
      <c r="AC401" s="8">
        <f>IF(E401="","",MAX(0, MAX(0, Z401*0.1) + MAX(0, (Z401-24000)*0.15) + MAX(0, (Z401-32333)*0.05) + MAX(0, (Z401-500000)*0.025) + MAX(0, (Z401-800000)*0.025) - AA401 - AB401))</f>
      </c>
      <c r="AD401" s="8">
        <f>IF(E401="","",AC401)</f>
      </c>
    </row>
    <row r="402" spans="1:30" x14ac:dyDescent="0.25">
      <c r="A402" s="6"/>
      <c r="B402" s="6"/>
      <c r="C402" s="6"/>
      <c r="F402" s="6"/>
      <c r="G402" s="6"/>
      <c r="L402" s="7"/>
      <c r="M402" s="7"/>
      <c r="N402" s="7"/>
      <c r="O402" s="7"/>
      <c r="P402" s="7"/>
      <c r="Q402" s="7"/>
      <c r="R402" s="7"/>
      <c r="S402" s="8">
        <f>IF(E402="","",SUM(L402:O402) + Q402 + R402)</f>
      </c>
      <c r="T402" s="8">
        <f>IF(E402="","",S402*0.0275)</f>
      </c>
      <c r="U402" s="8">
        <f>IF(E402="","",IF(S402&gt;0, MIN(S402*0.06, 6480), 0))</f>
      </c>
      <c r="V402" s="7"/>
      <c r="W402" s="7"/>
      <c r="X402" s="7"/>
      <c r="Y402" s="8">
        <f>IF(E402="","",S402*0.015)</f>
      </c>
      <c r="Z402" s="8">
        <f>IF(E402="","",MAX(0, S402 - T402 - U402 - V402 - W402 - X402 - Y402 - IF(J402="Yes", 150000, 0)))</f>
      </c>
      <c r="AA402" s="8">
        <f>IF(E402="","",IF(OR(L402&gt;0, E402&lt;&gt;""), 2400, 0))</f>
      </c>
      <c r="AB402" s="7"/>
      <c r="AC402" s="8">
        <f>IF(E402="","",MAX(0, MAX(0, Z402*0.1) + MAX(0, (Z402-24000)*0.15) + MAX(0, (Z402-32333)*0.05) + MAX(0, (Z402-500000)*0.025) + MAX(0, (Z402-800000)*0.025) - AA402 - AB402))</f>
      </c>
      <c r="AD402" s="8">
        <f>IF(E402="","",AC402)</f>
      </c>
    </row>
    <row r="403" spans="1:30" x14ac:dyDescent="0.25">
      <c r="A403" s="6"/>
      <c r="B403" s="6"/>
      <c r="C403" s="6"/>
      <c r="F403" s="6"/>
      <c r="G403" s="6"/>
      <c r="L403" s="7"/>
      <c r="M403" s="7"/>
      <c r="N403" s="7"/>
      <c r="O403" s="7"/>
      <c r="P403" s="7"/>
      <c r="Q403" s="7"/>
      <c r="R403" s="7"/>
      <c r="S403" s="8">
        <f>IF(E403="","",SUM(L403:O403) + Q403 + R403)</f>
      </c>
      <c r="T403" s="8">
        <f>IF(E403="","",S403*0.0275)</f>
      </c>
      <c r="U403" s="8">
        <f>IF(E403="","",IF(S403&gt;0, MIN(S403*0.06, 6480), 0))</f>
      </c>
      <c r="V403" s="7"/>
      <c r="W403" s="7"/>
      <c r="X403" s="7"/>
      <c r="Y403" s="8">
        <f>IF(E403="","",S403*0.015)</f>
      </c>
      <c r="Z403" s="8">
        <f>IF(E403="","",MAX(0, S403 - T403 - U403 - V403 - W403 - X403 - Y403 - IF(J403="Yes", 150000, 0)))</f>
      </c>
      <c r="AA403" s="8">
        <f>IF(E403="","",IF(OR(L403&gt;0, E403&lt;&gt;""), 2400, 0))</f>
      </c>
      <c r="AB403" s="7"/>
      <c r="AC403" s="8">
        <f>IF(E403="","",MAX(0, MAX(0, Z403*0.1) + MAX(0, (Z403-24000)*0.15) + MAX(0, (Z403-32333)*0.05) + MAX(0, (Z403-500000)*0.025) + MAX(0, (Z403-800000)*0.025) - AA403 - AB403))</f>
      </c>
      <c r="AD403" s="8">
        <f>IF(E403="","",AC403)</f>
      </c>
    </row>
    <row r="404" spans="1:30" x14ac:dyDescent="0.25">
      <c r="A404" s="6"/>
      <c r="B404" s="6"/>
      <c r="C404" s="6"/>
      <c r="F404" s="6"/>
      <c r="G404" s="6"/>
      <c r="L404" s="7"/>
      <c r="M404" s="7"/>
      <c r="N404" s="7"/>
      <c r="O404" s="7"/>
      <c r="P404" s="7"/>
      <c r="Q404" s="7"/>
      <c r="R404" s="7"/>
      <c r="S404" s="8">
        <f>IF(E404="","",SUM(L404:O404) + Q404 + R404)</f>
      </c>
      <c r="T404" s="8">
        <f>IF(E404="","",S404*0.0275)</f>
      </c>
      <c r="U404" s="8">
        <f>IF(E404="","",IF(S404&gt;0, MIN(S404*0.06, 6480), 0))</f>
      </c>
      <c r="V404" s="7"/>
      <c r="W404" s="7"/>
      <c r="X404" s="7"/>
      <c r="Y404" s="8">
        <f>IF(E404="","",S404*0.015)</f>
      </c>
      <c r="Z404" s="8">
        <f>IF(E404="","",MAX(0, S404 - T404 - U404 - V404 - W404 - X404 - Y404 - IF(J404="Yes", 150000, 0)))</f>
      </c>
      <c r="AA404" s="8">
        <f>IF(E404="","",IF(OR(L404&gt;0, E404&lt;&gt;""), 2400, 0))</f>
      </c>
      <c r="AB404" s="7"/>
      <c r="AC404" s="8">
        <f>IF(E404="","",MAX(0, MAX(0, Z404*0.1) + MAX(0, (Z404-24000)*0.15) + MAX(0, (Z404-32333)*0.05) + MAX(0, (Z404-500000)*0.025) + MAX(0, (Z404-800000)*0.025) - AA404 - AB404))</f>
      </c>
      <c r="AD404" s="8">
        <f>IF(E404="","",AC404)</f>
      </c>
    </row>
    <row r="405" spans="1:30" x14ac:dyDescent="0.25">
      <c r="A405" s="6"/>
      <c r="B405" s="6"/>
      <c r="C405" s="6"/>
      <c r="F405" s="6"/>
      <c r="G405" s="6"/>
      <c r="L405" s="7"/>
      <c r="M405" s="7"/>
      <c r="N405" s="7"/>
      <c r="O405" s="7"/>
      <c r="P405" s="7"/>
      <c r="Q405" s="7"/>
      <c r="R405" s="7"/>
      <c r="S405" s="8">
        <f>IF(E405="","",SUM(L405:O405) + Q405 + R405)</f>
      </c>
      <c r="T405" s="8">
        <f>IF(E405="","",S405*0.0275)</f>
      </c>
      <c r="U405" s="8">
        <f>IF(E405="","",IF(S405&gt;0, MIN(S405*0.06, 6480), 0))</f>
      </c>
      <c r="V405" s="7"/>
      <c r="W405" s="7"/>
      <c r="X405" s="7"/>
      <c r="Y405" s="8">
        <f>IF(E405="","",S405*0.015)</f>
      </c>
      <c r="Z405" s="8">
        <f>IF(E405="","",MAX(0, S405 - T405 - U405 - V405 - W405 - X405 - Y405 - IF(J405="Yes", 150000, 0)))</f>
      </c>
      <c r="AA405" s="8">
        <f>IF(E405="","",IF(OR(L405&gt;0, E405&lt;&gt;""), 2400, 0))</f>
      </c>
      <c r="AB405" s="7"/>
      <c r="AC405" s="8">
        <f>IF(E405="","",MAX(0, MAX(0, Z405*0.1) + MAX(0, (Z405-24000)*0.15) + MAX(0, (Z405-32333)*0.05) + MAX(0, (Z405-500000)*0.025) + MAX(0, (Z405-800000)*0.025) - AA405 - AB405))</f>
      </c>
      <c r="AD405" s="8">
        <f>IF(E405="","",AC405)</f>
      </c>
    </row>
    <row r="406" spans="1:30" x14ac:dyDescent="0.25">
      <c r="A406" s="6"/>
      <c r="B406" s="6"/>
      <c r="C406" s="6"/>
      <c r="F406" s="6"/>
      <c r="G406" s="6"/>
      <c r="L406" s="7"/>
      <c r="M406" s="7"/>
      <c r="N406" s="7"/>
      <c r="O406" s="7"/>
      <c r="P406" s="7"/>
      <c r="Q406" s="7"/>
      <c r="R406" s="7"/>
      <c r="S406" s="8">
        <f>IF(E406="","",SUM(L406:O406) + Q406 + R406)</f>
      </c>
      <c r="T406" s="8">
        <f>IF(E406="","",S406*0.0275)</f>
      </c>
      <c r="U406" s="8">
        <f>IF(E406="","",IF(S406&gt;0, MIN(S406*0.06, 6480), 0))</f>
      </c>
      <c r="V406" s="7"/>
      <c r="W406" s="7"/>
      <c r="X406" s="7"/>
      <c r="Y406" s="8">
        <f>IF(E406="","",S406*0.015)</f>
      </c>
      <c r="Z406" s="8">
        <f>IF(E406="","",MAX(0, S406 - T406 - U406 - V406 - W406 - X406 - Y406 - IF(J406="Yes", 150000, 0)))</f>
      </c>
      <c r="AA406" s="8">
        <f>IF(E406="","",IF(OR(L406&gt;0, E406&lt;&gt;""), 2400, 0))</f>
      </c>
      <c r="AB406" s="7"/>
      <c r="AC406" s="8">
        <f>IF(E406="","",MAX(0, MAX(0, Z406*0.1) + MAX(0, (Z406-24000)*0.15) + MAX(0, (Z406-32333)*0.05) + MAX(0, (Z406-500000)*0.025) + MAX(0, (Z406-800000)*0.025) - AA406 - AB406))</f>
      </c>
      <c r="AD406" s="8">
        <f>IF(E406="","",AC406)</f>
      </c>
    </row>
    <row r="407" spans="1:30" x14ac:dyDescent="0.25">
      <c r="A407" s="6"/>
      <c r="B407" s="6"/>
      <c r="C407" s="6"/>
      <c r="F407" s="6"/>
      <c r="G407" s="6"/>
      <c r="L407" s="7"/>
      <c r="M407" s="7"/>
      <c r="N407" s="7"/>
      <c r="O407" s="7"/>
      <c r="P407" s="7"/>
      <c r="Q407" s="7"/>
      <c r="R407" s="7"/>
      <c r="S407" s="8">
        <f>IF(E407="","",SUM(L407:O407) + Q407 + R407)</f>
      </c>
      <c r="T407" s="8">
        <f>IF(E407="","",S407*0.0275)</f>
      </c>
      <c r="U407" s="8">
        <f>IF(E407="","",IF(S407&gt;0, MIN(S407*0.06, 6480), 0))</f>
      </c>
      <c r="V407" s="7"/>
      <c r="W407" s="7"/>
      <c r="X407" s="7"/>
      <c r="Y407" s="8">
        <f>IF(E407="","",S407*0.015)</f>
      </c>
      <c r="Z407" s="8">
        <f>IF(E407="","",MAX(0, S407 - T407 - U407 - V407 - W407 - X407 - Y407 - IF(J407="Yes", 150000, 0)))</f>
      </c>
      <c r="AA407" s="8">
        <f>IF(E407="","",IF(OR(L407&gt;0, E407&lt;&gt;""), 2400, 0))</f>
      </c>
      <c r="AB407" s="7"/>
      <c r="AC407" s="8">
        <f>IF(E407="","",MAX(0, MAX(0, Z407*0.1) + MAX(0, (Z407-24000)*0.15) + MAX(0, (Z407-32333)*0.05) + MAX(0, (Z407-500000)*0.025) + MAX(0, (Z407-800000)*0.025) - AA407 - AB407))</f>
      </c>
      <c r="AD407" s="8">
        <f>IF(E407="","",AC407)</f>
      </c>
    </row>
    <row r="408" spans="1:30" x14ac:dyDescent="0.25">
      <c r="A408" s="6"/>
      <c r="B408" s="6"/>
      <c r="C408" s="6"/>
      <c r="F408" s="6"/>
      <c r="G408" s="6"/>
      <c r="L408" s="7"/>
      <c r="M408" s="7"/>
      <c r="N408" s="7"/>
      <c r="O408" s="7"/>
      <c r="P408" s="7"/>
      <c r="Q408" s="7"/>
      <c r="R408" s="7"/>
      <c r="S408" s="8">
        <f>IF(E408="","",SUM(L408:O408) + Q408 + R408)</f>
      </c>
      <c r="T408" s="8">
        <f>IF(E408="","",S408*0.0275)</f>
      </c>
      <c r="U408" s="8">
        <f>IF(E408="","",IF(S408&gt;0, MIN(S408*0.06, 6480), 0))</f>
      </c>
      <c r="V408" s="7"/>
      <c r="W408" s="7"/>
      <c r="X408" s="7"/>
      <c r="Y408" s="8">
        <f>IF(E408="","",S408*0.015)</f>
      </c>
      <c r="Z408" s="8">
        <f>IF(E408="","",MAX(0, S408 - T408 - U408 - V408 - W408 - X408 - Y408 - IF(J408="Yes", 150000, 0)))</f>
      </c>
      <c r="AA408" s="8">
        <f>IF(E408="","",IF(OR(L408&gt;0, E408&lt;&gt;""), 2400, 0))</f>
      </c>
      <c r="AB408" s="7"/>
      <c r="AC408" s="8">
        <f>IF(E408="","",MAX(0, MAX(0, Z408*0.1) + MAX(0, (Z408-24000)*0.15) + MAX(0, (Z408-32333)*0.05) + MAX(0, (Z408-500000)*0.025) + MAX(0, (Z408-800000)*0.025) - AA408 - AB408))</f>
      </c>
      <c r="AD408" s="8">
        <f>IF(E408="","",AC408)</f>
      </c>
    </row>
    <row r="409" spans="1:30" x14ac:dyDescent="0.25">
      <c r="A409" s="6"/>
      <c r="B409" s="6"/>
      <c r="C409" s="6"/>
      <c r="F409" s="6"/>
      <c r="G409" s="6"/>
      <c r="L409" s="7"/>
      <c r="M409" s="7"/>
      <c r="N409" s="7"/>
      <c r="O409" s="7"/>
      <c r="P409" s="7"/>
      <c r="Q409" s="7"/>
      <c r="R409" s="7"/>
      <c r="S409" s="8">
        <f>IF(E409="","",SUM(L409:O409) + Q409 + R409)</f>
      </c>
      <c r="T409" s="8">
        <f>IF(E409="","",S409*0.0275)</f>
      </c>
      <c r="U409" s="8">
        <f>IF(E409="","",IF(S409&gt;0, MIN(S409*0.06, 6480), 0))</f>
      </c>
      <c r="V409" s="7"/>
      <c r="W409" s="7"/>
      <c r="X409" s="7"/>
      <c r="Y409" s="8">
        <f>IF(E409="","",S409*0.015)</f>
      </c>
      <c r="Z409" s="8">
        <f>IF(E409="","",MAX(0, S409 - T409 - U409 - V409 - W409 - X409 - Y409 - IF(J409="Yes", 150000, 0)))</f>
      </c>
      <c r="AA409" s="8">
        <f>IF(E409="","",IF(OR(L409&gt;0, E409&lt;&gt;""), 2400, 0))</f>
      </c>
      <c r="AB409" s="7"/>
      <c r="AC409" s="8">
        <f>IF(E409="","",MAX(0, MAX(0, Z409*0.1) + MAX(0, (Z409-24000)*0.15) + MAX(0, (Z409-32333)*0.05) + MAX(0, (Z409-500000)*0.025) + MAX(0, (Z409-800000)*0.025) - AA409 - AB409))</f>
      </c>
      <c r="AD409" s="8">
        <f>IF(E409="","",AC409)</f>
      </c>
    </row>
    <row r="410" spans="1:30" x14ac:dyDescent="0.25">
      <c r="A410" s="6"/>
      <c r="B410" s="6"/>
      <c r="C410" s="6"/>
      <c r="F410" s="6"/>
      <c r="G410" s="6"/>
      <c r="L410" s="7"/>
      <c r="M410" s="7"/>
      <c r="N410" s="7"/>
      <c r="O410" s="7"/>
      <c r="P410" s="7"/>
      <c r="Q410" s="7"/>
      <c r="R410" s="7"/>
      <c r="S410" s="8">
        <f>IF(E410="","",SUM(L410:O410) + Q410 + R410)</f>
      </c>
      <c r="T410" s="8">
        <f>IF(E410="","",S410*0.0275)</f>
      </c>
      <c r="U410" s="8">
        <f>IF(E410="","",IF(S410&gt;0, MIN(S410*0.06, 6480), 0))</f>
      </c>
      <c r="V410" s="7"/>
      <c r="W410" s="7"/>
      <c r="X410" s="7"/>
      <c r="Y410" s="8">
        <f>IF(E410="","",S410*0.015)</f>
      </c>
      <c r="Z410" s="8">
        <f>IF(E410="","",MAX(0, S410 - T410 - U410 - V410 - W410 - X410 - Y410 - IF(J410="Yes", 150000, 0)))</f>
      </c>
      <c r="AA410" s="8">
        <f>IF(E410="","",IF(OR(L410&gt;0, E410&lt;&gt;""), 2400, 0))</f>
      </c>
      <c r="AB410" s="7"/>
      <c r="AC410" s="8">
        <f>IF(E410="","",MAX(0, MAX(0, Z410*0.1) + MAX(0, (Z410-24000)*0.15) + MAX(0, (Z410-32333)*0.05) + MAX(0, (Z410-500000)*0.025) + MAX(0, (Z410-800000)*0.025) - AA410 - AB410))</f>
      </c>
      <c r="AD410" s="8">
        <f>IF(E410="","",AC410)</f>
      </c>
    </row>
    <row r="411" spans="1:30" x14ac:dyDescent="0.25">
      <c r="A411" s="6"/>
      <c r="B411" s="6"/>
      <c r="C411" s="6"/>
      <c r="F411" s="6"/>
      <c r="G411" s="6"/>
      <c r="L411" s="7"/>
      <c r="M411" s="7"/>
      <c r="N411" s="7"/>
      <c r="O411" s="7"/>
      <c r="P411" s="7"/>
      <c r="Q411" s="7"/>
      <c r="R411" s="7"/>
      <c r="S411" s="8">
        <f>IF(E411="","",SUM(L411:O411) + Q411 + R411)</f>
      </c>
      <c r="T411" s="8">
        <f>IF(E411="","",S411*0.0275)</f>
      </c>
      <c r="U411" s="8">
        <f>IF(E411="","",IF(S411&gt;0, MIN(S411*0.06, 6480), 0))</f>
      </c>
      <c r="V411" s="7"/>
      <c r="W411" s="7"/>
      <c r="X411" s="7"/>
      <c r="Y411" s="8">
        <f>IF(E411="","",S411*0.015)</f>
      </c>
      <c r="Z411" s="8">
        <f>IF(E411="","",MAX(0, S411 - T411 - U411 - V411 - W411 - X411 - Y411 - IF(J411="Yes", 150000, 0)))</f>
      </c>
      <c r="AA411" s="8">
        <f>IF(E411="","",IF(OR(L411&gt;0, E411&lt;&gt;""), 2400, 0))</f>
      </c>
      <c r="AB411" s="7"/>
      <c r="AC411" s="8">
        <f>IF(E411="","",MAX(0, MAX(0, Z411*0.1) + MAX(0, (Z411-24000)*0.15) + MAX(0, (Z411-32333)*0.05) + MAX(0, (Z411-500000)*0.025) + MAX(0, (Z411-800000)*0.025) - AA411 - AB411))</f>
      </c>
      <c r="AD411" s="8">
        <f>IF(E411="","",AC411)</f>
      </c>
    </row>
    <row r="412" spans="1:30" x14ac:dyDescent="0.25">
      <c r="A412" s="6"/>
      <c r="B412" s="6"/>
      <c r="C412" s="6"/>
      <c r="F412" s="6"/>
      <c r="G412" s="6"/>
      <c r="L412" s="7"/>
      <c r="M412" s="7"/>
      <c r="N412" s="7"/>
      <c r="O412" s="7"/>
      <c r="P412" s="7"/>
      <c r="Q412" s="7"/>
      <c r="R412" s="7"/>
      <c r="S412" s="8">
        <f>IF(E412="","",SUM(L412:O412) + Q412 + R412)</f>
      </c>
      <c r="T412" s="8">
        <f>IF(E412="","",S412*0.0275)</f>
      </c>
      <c r="U412" s="8">
        <f>IF(E412="","",IF(S412&gt;0, MIN(S412*0.06, 6480), 0))</f>
      </c>
      <c r="V412" s="7"/>
      <c r="W412" s="7"/>
      <c r="X412" s="7"/>
      <c r="Y412" s="8">
        <f>IF(E412="","",S412*0.015)</f>
      </c>
      <c r="Z412" s="8">
        <f>IF(E412="","",MAX(0, S412 - T412 - U412 - V412 - W412 - X412 - Y412 - IF(J412="Yes", 150000, 0)))</f>
      </c>
      <c r="AA412" s="8">
        <f>IF(E412="","",IF(OR(L412&gt;0, E412&lt;&gt;""), 2400, 0))</f>
      </c>
      <c r="AB412" s="7"/>
      <c r="AC412" s="8">
        <f>IF(E412="","",MAX(0, MAX(0, Z412*0.1) + MAX(0, (Z412-24000)*0.15) + MAX(0, (Z412-32333)*0.05) + MAX(0, (Z412-500000)*0.025) + MAX(0, (Z412-800000)*0.025) - AA412 - AB412))</f>
      </c>
      <c r="AD412" s="8">
        <f>IF(E412="","",AC412)</f>
      </c>
    </row>
    <row r="413" spans="1:30" x14ac:dyDescent="0.25">
      <c r="A413" s="6"/>
      <c r="B413" s="6"/>
      <c r="C413" s="6"/>
      <c r="F413" s="6"/>
      <c r="G413" s="6"/>
      <c r="L413" s="7"/>
      <c r="M413" s="7"/>
      <c r="N413" s="7"/>
      <c r="O413" s="7"/>
      <c r="P413" s="7"/>
      <c r="Q413" s="7"/>
      <c r="R413" s="7"/>
      <c r="S413" s="8">
        <f>IF(E413="","",SUM(L413:O413) + Q413 + R413)</f>
      </c>
      <c r="T413" s="8">
        <f>IF(E413="","",S413*0.0275)</f>
      </c>
      <c r="U413" s="8">
        <f>IF(E413="","",IF(S413&gt;0, MIN(S413*0.06, 6480), 0))</f>
      </c>
      <c r="V413" s="7"/>
      <c r="W413" s="7"/>
      <c r="X413" s="7"/>
      <c r="Y413" s="8">
        <f>IF(E413="","",S413*0.015)</f>
      </c>
      <c r="Z413" s="8">
        <f>IF(E413="","",MAX(0, S413 - T413 - U413 - V413 - W413 - X413 - Y413 - IF(J413="Yes", 150000, 0)))</f>
      </c>
      <c r="AA413" s="8">
        <f>IF(E413="","",IF(OR(L413&gt;0, E413&lt;&gt;""), 2400, 0))</f>
      </c>
      <c r="AB413" s="7"/>
      <c r="AC413" s="8">
        <f>IF(E413="","",MAX(0, MAX(0, Z413*0.1) + MAX(0, (Z413-24000)*0.15) + MAX(0, (Z413-32333)*0.05) + MAX(0, (Z413-500000)*0.025) + MAX(0, (Z413-800000)*0.025) - AA413 - AB413))</f>
      </c>
      <c r="AD413" s="8">
        <f>IF(E413="","",AC413)</f>
      </c>
    </row>
    <row r="414" spans="1:30" x14ac:dyDescent="0.25">
      <c r="A414" s="6"/>
      <c r="B414" s="6"/>
      <c r="C414" s="6"/>
      <c r="F414" s="6"/>
      <c r="G414" s="6"/>
      <c r="L414" s="7"/>
      <c r="M414" s="7"/>
      <c r="N414" s="7"/>
      <c r="O414" s="7"/>
      <c r="P414" s="7"/>
      <c r="Q414" s="7"/>
      <c r="R414" s="7"/>
      <c r="S414" s="8">
        <f>IF(E414="","",SUM(L414:O414) + Q414 + R414)</f>
      </c>
      <c r="T414" s="8">
        <f>IF(E414="","",S414*0.0275)</f>
      </c>
      <c r="U414" s="8">
        <f>IF(E414="","",IF(S414&gt;0, MIN(S414*0.06, 6480), 0))</f>
      </c>
      <c r="V414" s="7"/>
      <c r="W414" s="7"/>
      <c r="X414" s="7"/>
      <c r="Y414" s="8">
        <f>IF(E414="","",S414*0.015)</f>
      </c>
      <c r="Z414" s="8">
        <f>IF(E414="","",MAX(0, S414 - T414 - U414 - V414 - W414 - X414 - Y414 - IF(J414="Yes", 150000, 0)))</f>
      </c>
      <c r="AA414" s="8">
        <f>IF(E414="","",IF(OR(L414&gt;0, E414&lt;&gt;""), 2400, 0))</f>
      </c>
      <c r="AB414" s="7"/>
      <c r="AC414" s="8">
        <f>IF(E414="","",MAX(0, MAX(0, Z414*0.1) + MAX(0, (Z414-24000)*0.15) + MAX(0, (Z414-32333)*0.05) + MAX(0, (Z414-500000)*0.025) + MAX(0, (Z414-800000)*0.025) - AA414 - AB414))</f>
      </c>
      <c r="AD414" s="8">
        <f>IF(E414="","",AC414)</f>
      </c>
    </row>
    <row r="415" spans="1:30" x14ac:dyDescent="0.25">
      <c r="A415" s="6"/>
      <c r="B415" s="6"/>
      <c r="C415" s="6"/>
      <c r="F415" s="6"/>
      <c r="G415" s="6"/>
      <c r="L415" s="7"/>
      <c r="M415" s="7"/>
      <c r="N415" s="7"/>
      <c r="O415" s="7"/>
      <c r="P415" s="7"/>
      <c r="Q415" s="7"/>
      <c r="R415" s="7"/>
      <c r="S415" s="8">
        <f>IF(E415="","",SUM(L415:O415) + Q415 + R415)</f>
      </c>
      <c r="T415" s="8">
        <f>IF(E415="","",S415*0.0275)</f>
      </c>
      <c r="U415" s="8">
        <f>IF(E415="","",IF(S415&gt;0, MIN(S415*0.06, 6480), 0))</f>
      </c>
      <c r="V415" s="7"/>
      <c r="W415" s="7"/>
      <c r="X415" s="7"/>
      <c r="Y415" s="8">
        <f>IF(E415="","",S415*0.015)</f>
      </c>
      <c r="Z415" s="8">
        <f>IF(E415="","",MAX(0, S415 - T415 - U415 - V415 - W415 - X415 - Y415 - IF(J415="Yes", 150000, 0)))</f>
      </c>
      <c r="AA415" s="8">
        <f>IF(E415="","",IF(OR(L415&gt;0, E415&lt;&gt;""), 2400, 0))</f>
      </c>
      <c r="AB415" s="7"/>
      <c r="AC415" s="8">
        <f>IF(E415="","",MAX(0, MAX(0, Z415*0.1) + MAX(0, (Z415-24000)*0.15) + MAX(0, (Z415-32333)*0.05) + MAX(0, (Z415-500000)*0.025) + MAX(0, (Z415-800000)*0.025) - AA415 - AB415))</f>
      </c>
      <c r="AD415" s="8">
        <f>IF(E415="","",AC415)</f>
      </c>
    </row>
    <row r="416" spans="1:30" x14ac:dyDescent="0.25">
      <c r="A416" s="6"/>
      <c r="B416" s="6"/>
      <c r="C416" s="6"/>
      <c r="F416" s="6"/>
      <c r="G416" s="6"/>
      <c r="L416" s="7"/>
      <c r="M416" s="7"/>
      <c r="N416" s="7"/>
      <c r="O416" s="7"/>
      <c r="P416" s="7"/>
      <c r="Q416" s="7"/>
      <c r="R416" s="7"/>
      <c r="S416" s="8">
        <f>IF(E416="","",SUM(L416:O416) + Q416 + R416)</f>
      </c>
      <c r="T416" s="8">
        <f>IF(E416="","",S416*0.0275)</f>
      </c>
      <c r="U416" s="8">
        <f>IF(E416="","",IF(S416&gt;0, MIN(S416*0.06, 6480), 0))</f>
      </c>
      <c r="V416" s="7"/>
      <c r="W416" s="7"/>
      <c r="X416" s="7"/>
      <c r="Y416" s="8">
        <f>IF(E416="","",S416*0.015)</f>
      </c>
      <c r="Z416" s="8">
        <f>IF(E416="","",MAX(0, S416 - T416 - U416 - V416 - W416 - X416 - Y416 - IF(J416="Yes", 150000, 0)))</f>
      </c>
      <c r="AA416" s="8">
        <f>IF(E416="","",IF(OR(L416&gt;0, E416&lt;&gt;""), 2400, 0))</f>
      </c>
      <c r="AB416" s="7"/>
      <c r="AC416" s="8">
        <f>IF(E416="","",MAX(0, MAX(0, Z416*0.1) + MAX(0, (Z416-24000)*0.15) + MAX(0, (Z416-32333)*0.05) + MAX(0, (Z416-500000)*0.025) + MAX(0, (Z416-800000)*0.025) - AA416 - AB416))</f>
      </c>
      <c r="AD416" s="8">
        <f>IF(E416="","",AC416)</f>
      </c>
    </row>
    <row r="417" spans="1:30" x14ac:dyDescent="0.25">
      <c r="A417" s="6"/>
      <c r="B417" s="6"/>
      <c r="C417" s="6"/>
      <c r="F417" s="6"/>
      <c r="G417" s="6"/>
      <c r="L417" s="7"/>
      <c r="M417" s="7"/>
      <c r="N417" s="7"/>
      <c r="O417" s="7"/>
      <c r="P417" s="7"/>
      <c r="Q417" s="7"/>
      <c r="R417" s="7"/>
      <c r="S417" s="8">
        <f>IF(E417="","",SUM(L417:O417) + Q417 + R417)</f>
      </c>
      <c r="T417" s="8">
        <f>IF(E417="","",S417*0.0275)</f>
      </c>
      <c r="U417" s="8">
        <f>IF(E417="","",IF(S417&gt;0, MIN(S417*0.06, 6480), 0))</f>
      </c>
      <c r="V417" s="7"/>
      <c r="W417" s="7"/>
      <c r="X417" s="7"/>
      <c r="Y417" s="8">
        <f>IF(E417="","",S417*0.015)</f>
      </c>
      <c r="Z417" s="8">
        <f>IF(E417="","",MAX(0, S417 - T417 - U417 - V417 - W417 - X417 - Y417 - IF(J417="Yes", 150000, 0)))</f>
      </c>
      <c r="AA417" s="8">
        <f>IF(E417="","",IF(OR(L417&gt;0, E417&lt;&gt;""), 2400, 0))</f>
      </c>
      <c r="AB417" s="7"/>
      <c r="AC417" s="8">
        <f>IF(E417="","",MAX(0, MAX(0, Z417*0.1) + MAX(0, (Z417-24000)*0.15) + MAX(0, (Z417-32333)*0.05) + MAX(0, (Z417-500000)*0.025) + MAX(0, (Z417-800000)*0.025) - AA417 - AB417))</f>
      </c>
      <c r="AD417" s="8">
        <f>IF(E417="","",AC417)</f>
      </c>
    </row>
    <row r="418" spans="1:30" x14ac:dyDescent="0.25">
      <c r="A418" s="6"/>
      <c r="B418" s="6"/>
      <c r="C418" s="6"/>
      <c r="F418" s="6"/>
      <c r="G418" s="6"/>
      <c r="L418" s="7"/>
      <c r="M418" s="7"/>
      <c r="N418" s="7"/>
      <c r="O418" s="7"/>
      <c r="P418" s="7"/>
      <c r="Q418" s="7"/>
      <c r="R418" s="7"/>
      <c r="S418" s="8">
        <f>IF(E418="","",SUM(L418:O418) + Q418 + R418)</f>
      </c>
      <c r="T418" s="8">
        <f>IF(E418="","",S418*0.0275)</f>
      </c>
      <c r="U418" s="8">
        <f>IF(E418="","",IF(S418&gt;0, MIN(S418*0.06, 6480), 0))</f>
      </c>
      <c r="V418" s="7"/>
      <c r="W418" s="7"/>
      <c r="X418" s="7"/>
      <c r="Y418" s="8">
        <f>IF(E418="","",S418*0.015)</f>
      </c>
      <c r="Z418" s="8">
        <f>IF(E418="","",MAX(0, S418 - T418 - U418 - V418 - W418 - X418 - Y418 - IF(J418="Yes", 150000, 0)))</f>
      </c>
      <c r="AA418" s="8">
        <f>IF(E418="","",IF(OR(L418&gt;0, E418&lt;&gt;""), 2400, 0))</f>
      </c>
      <c r="AB418" s="7"/>
      <c r="AC418" s="8">
        <f>IF(E418="","",MAX(0, MAX(0, Z418*0.1) + MAX(0, (Z418-24000)*0.15) + MAX(0, (Z418-32333)*0.05) + MAX(0, (Z418-500000)*0.025) + MAX(0, (Z418-800000)*0.025) - AA418 - AB418))</f>
      </c>
      <c r="AD418" s="8">
        <f>IF(E418="","",AC418)</f>
      </c>
    </row>
    <row r="419" spans="1:30" x14ac:dyDescent="0.25">
      <c r="A419" s="6"/>
      <c r="B419" s="6"/>
      <c r="C419" s="6"/>
      <c r="F419" s="6"/>
      <c r="G419" s="6"/>
      <c r="L419" s="7"/>
      <c r="M419" s="7"/>
      <c r="N419" s="7"/>
      <c r="O419" s="7"/>
      <c r="P419" s="7"/>
      <c r="Q419" s="7"/>
      <c r="R419" s="7"/>
      <c r="S419" s="8">
        <f>IF(E419="","",SUM(L419:O419) + Q419 + R419)</f>
      </c>
      <c r="T419" s="8">
        <f>IF(E419="","",S419*0.0275)</f>
      </c>
      <c r="U419" s="8">
        <f>IF(E419="","",IF(S419&gt;0, MIN(S419*0.06, 6480), 0))</f>
      </c>
      <c r="V419" s="7"/>
      <c r="W419" s="7"/>
      <c r="X419" s="7"/>
      <c r="Y419" s="8">
        <f>IF(E419="","",S419*0.015)</f>
      </c>
      <c r="Z419" s="8">
        <f>IF(E419="","",MAX(0, S419 - T419 - U419 - V419 - W419 - X419 - Y419 - IF(J419="Yes", 150000, 0)))</f>
      </c>
      <c r="AA419" s="8">
        <f>IF(E419="","",IF(OR(L419&gt;0, E419&lt;&gt;""), 2400, 0))</f>
      </c>
      <c r="AB419" s="7"/>
      <c r="AC419" s="8">
        <f>IF(E419="","",MAX(0, MAX(0, Z419*0.1) + MAX(0, (Z419-24000)*0.15) + MAX(0, (Z419-32333)*0.05) + MAX(0, (Z419-500000)*0.025) + MAX(0, (Z419-800000)*0.025) - AA419 - AB419))</f>
      </c>
      <c r="AD419" s="8">
        <f>IF(E419="","",AC419)</f>
      </c>
    </row>
    <row r="420" spans="1:30" x14ac:dyDescent="0.25">
      <c r="A420" s="6"/>
      <c r="B420" s="6"/>
      <c r="C420" s="6"/>
      <c r="F420" s="6"/>
      <c r="G420" s="6"/>
      <c r="L420" s="7"/>
      <c r="M420" s="7"/>
      <c r="N420" s="7"/>
      <c r="O420" s="7"/>
      <c r="P420" s="7"/>
      <c r="Q420" s="7"/>
      <c r="R420" s="7"/>
      <c r="S420" s="8">
        <f>IF(E420="","",SUM(L420:O420) + Q420 + R420)</f>
      </c>
      <c r="T420" s="8">
        <f>IF(E420="","",S420*0.0275)</f>
      </c>
      <c r="U420" s="8">
        <f>IF(E420="","",IF(S420&gt;0, MIN(S420*0.06, 6480), 0))</f>
      </c>
      <c r="V420" s="7"/>
      <c r="W420" s="7"/>
      <c r="X420" s="7"/>
      <c r="Y420" s="8">
        <f>IF(E420="","",S420*0.015)</f>
      </c>
      <c r="Z420" s="8">
        <f>IF(E420="","",MAX(0, S420 - T420 - U420 - V420 - W420 - X420 - Y420 - IF(J420="Yes", 150000, 0)))</f>
      </c>
      <c r="AA420" s="8">
        <f>IF(E420="","",IF(OR(L420&gt;0, E420&lt;&gt;""), 2400, 0))</f>
      </c>
      <c r="AB420" s="7"/>
      <c r="AC420" s="8">
        <f>IF(E420="","",MAX(0, MAX(0, Z420*0.1) + MAX(0, (Z420-24000)*0.15) + MAX(0, (Z420-32333)*0.05) + MAX(0, (Z420-500000)*0.025) + MAX(0, (Z420-800000)*0.025) - AA420 - AB420))</f>
      </c>
      <c r="AD420" s="8">
        <f>IF(E420="","",AC420)</f>
      </c>
    </row>
    <row r="421" spans="1:30" x14ac:dyDescent="0.25">
      <c r="A421" s="6"/>
      <c r="B421" s="6"/>
      <c r="C421" s="6"/>
      <c r="F421" s="6"/>
      <c r="G421" s="6"/>
      <c r="L421" s="7"/>
      <c r="M421" s="7"/>
      <c r="N421" s="7"/>
      <c r="O421" s="7"/>
      <c r="P421" s="7"/>
      <c r="Q421" s="7"/>
      <c r="R421" s="7"/>
      <c r="S421" s="8">
        <f>IF(E421="","",SUM(L421:O421) + Q421 + R421)</f>
      </c>
      <c r="T421" s="8">
        <f>IF(E421="","",S421*0.0275)</f>
      </c>
      <c r="U421" s="8">
        <f>IF(E421="","",IF(S421&gt;0, MIN(S421*0.06, 6480), 0))</f>
      </c>
      <c r="V421" s="7"/>
      <c r="W421" s="7"/>
      <c r="X421" s="7"/>
      <c r="Y421" s="8">
        <f>IF(E421="","",S421*0.015)</f>
      </c>
      <c r="Z421" s="8">
        <f>IF(E421="","",MAX(0, S421 - T421 - U421 - V421 - W421 - X421 - Y421 - IF(J421="Yes", 150000, 0)))</f>
      </c>
      <c r="AA421" s="8">
        <f>IF(E421="","",IF(OR(L421&gt;0, E421&lt;&gt;""), 2400, 0))</f>
      </c>
      <c r="AB421" s="7"/>
      <c r="AC421" s="8">
        <f>IF(E421="","",MAX(0, MAX(0, Z421*0.1) + MAX(0, (Z421-24000)*0.15) + MAX(0, (Z421-32333)*0.05) + MAX(0, (Z421-500000)*0.025) + MAX(0, (Z421-800000)*0.025) - AA421 - AB421))</f>
      </c>
      <c r="AD421" s="8">
        <f>IF(E421="","",AC421)</f>
      </c>
    </row>
    <row r="422" spans="1:30" x14ac:dyDescent="0.25">
      <c r="A422" s="6"/>
      <c r="B422" s="6"/>
      <c r="C422" s="6"/>
      <c r="F422" s="6"/>
      <c r="G422" s="6"/>
      <c r="L422" s="7"/>
      <c r="M422" s="7"/>
      <c r="N422" s="7"/>
      <c r="O422" s="7"/>
      <c r="P422" s="7"/>
      <c r="Q422" s="7"/>
      <c r="R422" s="7"/>
      <c r="S422" s="8">
        <f>IF(E422="","",SUM(L422:O422) + Q422 + R422)</f>
      </c>
      <c r="T422" s="8">
        <f>IF(E422="","",S422*0.0275)</f>
      </c>
      <c r="U422" s="8">
        <f>IF(E422="","",IF(S422&gt;0, MIN(S422*0.06, 6480), 0))</f>
      </c>
      <c r="V422" s="7"/>
      <c r="W422" s="7"/>
      <c r="X422" s="7"/>
      <c r="Y422" s="8">
        <f>IF(E422="","",S422*0.015)</f>
      </c>
      <c r="Z422" s="8">
        <f>IF(E422="","",MAX(0, S422 - T422 - U422 - V422 - W422 - X422 - Y422 - IF(J422="Yes", 150000, 0)))</f>
      </c>
      <c r="AA422" s="8">
        <f>IF(E422="","",IF(OR(L422&gt;0, E422&lt;&gt;""), 2400, 0))</f>
      </c>
      <c r="AB422" s="7"/>
      <c r="AC422" s="8">
        <f>IF(E422="","",MAX(0, MAX(0, Z422*0.1) + MAX(0, (Z422-24000)*0.15) + MAX(0, (Z422-32333)*0.05) + MAX(0, (Z422-500000)*0.025) + MAX(0, (Z422-800000)*0.025) - AA422 - AB422))</f>
      </c>
      <c r="AD422" s="8">
        <f>IF(E422="","",AC422)</f>
      </c>
    </row>
    <row r="423" spans="1:30" x14ac:dyDescent="0.25">
      <c r="A423" s="6"/>
      <c r="B423" s="6"/>
      <c r="C423" s="6"/>
      <c r="F423" s="6"/>
      <c r="G423" s="6"/>
      <c r="L423" s="7"/>
      <c r="M423" s="7"/>
      <c r="N423" s="7"/>
      <c r="O423" s="7"/>
      <c r="P423" s="7"/>
      <c r="Q423" s="7"/>
      <c r="R423" s="7"/>
      <c r="S423" s="8">
        <f>IF(E423="","",SUM(L423:O423) + Q423 + R423)</f>
      </c>
      <c r="T423" s="8">
        <f>IF(E423="","",S423*0.0275)</f>
      </c>
      <c r="U423" s="8">
        <f>IF(E423="","",IF(S423&gt;0, MIN(S423*0.06, 6480), 0))</f>
      </c>
      <c r="V423" s="7"/>
      <c r="W423" s="7"/>
      <c r="X423" s="7"/>
      <c r="Y423" s="8">
        <f>IF(E423="","",S423*0.015)</f>
      </c>
      <c r="Z423" s="8">
        <f>IF(E423="","",MAX(0, S423 - T423 - U423 - V423 - W423 - X423 - Y423 - IF(J423="Yes", 150000, 0)))</f>
      </c>
      <c r="AA423" s="8">
        <f>IF(E423="","",IF(OR(L423&gt;0, E423&lt;&gt;""), 2400, 0))</f>
      </c>
      <c r="AB423" s="7"/>
      <c r="AC423" s="8">
        <f>IF(E423="","",MAX(0, MAX(0, Z423*0.1) + MAX(0, (Z423-24000)*0.15) + MAX(0, (Z423-32333)*0.05) + MAX(0, (Z423-500000)*0.025) + MAX(0, (Z423-800000)*0.025) - AA423 - AB423))</f>
      </c>
      <c r="AD423" s="8">
        <f>IF(E423="","",AC423)</f>
      </c>
    </row>
    <row r="424" spans="1:30" x14ac:dyDescent="0.25">
      <c r="A424" s="6"/>
      <c r="B424" s="6"/>
      <c r="C424" s="6"/>
      <c r="F424" s="6"/>
      <c r="G424" s="6"/>
      <c r="L424" s="7"/>
      <c r="M424" s="7"/>
      <c r="N424" s="7"/>
      <c r="O424" s="7"/>
      <c r="P424" s="7"/>
      <c r="Q424" s="7"/>
      <c r="R424" s="7"/>
      <c r="S424" s="8">
        <f>IF(E424="","",SUM(L424:O424) + Q424 + R424)</f>
      </c>
      <c r="T424" s="8">
        <f>IF(E424="","",S424*0.0275)</f>
      </c>
      <c r="U424" s="8">
        <f>IF(E424="","",IF(S424&gt;0, MIN(S424*0.06, 6480), 0))</f>
      </c>
      <c r="V424" s="7"/>
      <c r="W424" s="7"/>
      <c r="X424" s="7"/>
      <c r="Y424" s="8">
        <f>IF(E424="","",S424*0.015)</f>
      </c>
      <c r="Z424" s="8">
        <f>IF(E424="","",MAX(0, S424 - T424 - U424 - V424 - W424 - X424 - Y424 - IF(J424="Yes", 150000, 0)))</f>
      </c>
      <c r="AA424" s="8">
        <f>IF(E424="","",IF(OR(L424&gt;0, E424&lt;&gt;""), 2400, 0))</f>
      </c>
      <c r="AB424" s="7"/>
      <c r="AC424" s="8">
        <f>IF(E424="","",MAX(0, MAX(0, Z424*0.1) + MAX(0, (Z424-24000)*0.15) + MAX(0, (Z424-32333)*0.05) + MAX(0, (Z424-500000)*0.025) + MAX(0, (Z424-800000)*0.025) - AA424 - AB424))</f>
      </c>
      <c r="AD424" s="8">
        <f>IF(E424="","",AC424)</f>
      </c>
    </row>
    <row r="425" spans="1:30" x14ac:dyDescent="0.25">
      <c r="A425" s="6"/>
      <c r="B425" s="6"/>
      <c r="C425" s="6"/>
      <c r="F425" s="6"/>
      <c r="G425" s="6"/>
      <c r="L425" s="7"/>
      <c r="M425" s="7"/>
      <c r="N425" s="7"/>
      <c r="O425" s="7"/>
      <c r="P425" s="7"/>
      <c r="Q425" s="7"/>
      <c r="R425" s="7"/>
      <c r="S425" s="8">
        <f>IF(E425="","",SUM(L425:O425) + Q425 + R425)</f>
      </c>
      <c r="T425" s="8">
        <f>IF(E425="","",S425*0.0275)</f>
      </c>
      <c r="U425" s="8">
        <f>IF(E425="","",IF(S425&gt;0, MIN(S425*0.06, 6480), 0))</f>
      </c>
      <c r="V425" s="7"/>
      <c r="W425" s="7"/>
      <c r="X425" s="7"/>
      <c r="Y425" s="8">
        <f>IF(E425="","",S425*0.015)</f>
      </c>
      <c r="Z425" s="8">
        <f>IF(E425="","",MAX(0, S425 - T425 - U425 - V425 - W425 - X425 - Y425 - IF(J425="Yes", 150000, 0)))</f>
      </c>
      <c r="AA425" s="8">
        <f>IF(E425="","",IF(OR(L425&gt;0, E425&lt;&gt;""), 2400, 0))</f>
      </c>
      <c r="AB425" s="7"/>
      <c r="AC425" s="8">
        <f>IF(E425="","",MAX(0, MAX(0, Z425*0.1) + MAX(0, (Z425-24000)*0.15) + MAX(0, (Z425-32333)*0.05) + MAX(0, (Z425-500000)*0.025) + MAX(0, (Z425-800000)*0.025) - AA425 - AB425))</f>
      </c>
      <c r="AD425" s="8">
        <f>IF(E425="","",AC425)</f>
      </c>
    </row>
    <row r="426" spans="1:30" x14ac:dyDescent="0.25">
      <c r="A426" s="6"/>
      <c r="B426" s="6"/>
      <c r="C426" s="6"/>
      <c r="F426" s="6"/>
      <c r="G426" s="6"/>
      <c r="L426" s="7"/>
      <c r="M426" s="7"/>
      <c r="N426" s="7"/>
      <c r="O426" s="7"/>
      <c r="P426" s="7"/>
      <c r="Q426" s="7"/>
      <c r="R426" s="7"/>
      <c r="S426" s="8">
        <f>IF(E426="","",SUM(L426:O426) + Q426 + R426)</f>
      </c>
      <c r="T426" s="8">
        <f>IF(E426="","",S426*0.0275)</f>
      </c>
      <c r="U426" s="8">
        <f>IF(E426="","",IF(S426&gt;0, MIN(S426*0.06, 6480), 0))</f>
      </c>
      <c r="V426" s="7"/>
      <c r="W426" s="7"/>
      <c r="X426" s="7"/>
      <c r="Y426" s="8">
        <f>IF(E426="","",S426*0.015)</f>
      </c>
      <c r="Z426" s="8">
        <f>IF(E426="","",MAX(0, S426 - T426 - U426 - V426 - W426 - X426 - Y426 - IF(J426="Yes", 150000, 0)))</f>
      </c>
      <c r="AA426" s="8">
        <f>IF(E426="","",IF(OR(L426&gt;0, E426&lt;&gt;""), 2400, 0))</f>
      </c>
      <c r="AB426" s="7"/>
      <c r="AC426" s="8">
        <f>IF(E426="","",MAX(0, MAX(0, Z426*0.1) + MAX(0, (Z426-24000)*0.15) + MAX(0, (Z426-32333)*0.05) + MAX(0, (Z426-500000)*0.025) + MAX(0, (Z426-800000)*0.025) - AA426 - AB426))</f>
      </c>
      <c r="AD426" s="8">
        <f>IF(E426="","",AC426)</f>
      </c>
    </row>
    <row r="427" spans="1:30" x14ac:dyDescent="0.25">
      <c r="A427" s="6"/>
      <c r="B427" s="6"/>
      <c r="C427" s="6"/>
      <c r="F427" s="6"/>
      <c r="G427" s="6"/>
      <c r="L427" s="7"/>
      <c r="M427" s="7"/>
      <c r="N427" s="7"/>
      <c r="O427" s="7"/>
      <c r="P427" s="7"/>
      <c r="Q427" s="7"/>
      <c r="R427" s="7"/>
      <c r="S427" s="8">
        <f>IF(E427="","",SUM(L427:O427) + Q427 + R427)</f>
      </c>
      <c r="T427" s="8">
        <f>IF(E427="","",S427*0.0275)</f>
      </c>
      <c r="U427" s="8">
        <f>IF(E427="","",IF(S427&gt;0, MIN(S427*0.06, 6480), 0))</f>
      </c>
      <c r="V427" s="7"/>
      <c r="W427" s="7"/>
      <c r="X427" s="7"/>
      <c r="Y427" s="8">
        <f>IF(E427="","",S427*0.015)</f>
      </c>
      <c r="Z427" s="8">
        <f>IF(E427="","",MAX(0, S427 - T427 - U427 - V427 - W427 - X427 - Y427 - IF(J427="Yes", 150000, 0)))</f>
      </c>
      <c r="AA427" s="8">
        <f>IF(E427="","",IF(OR(L427&gt;0, E427&lt;&gt;""), 2400, 0))</f>
      </c>
      <c r="AB427" s="7"/>
      <c r="AC427" s="8">
        <f>IF(E427="","",MAX(0, MAX(0, Z427*0.1) + MAX(0, (Z427-24000)*0.15) + MAX(0, (Z427-32333)*0.05) + MAX(0, (Z427-500000)*0.025) + MAX(0, (Z427-800000)*0.025) - AA427 - AB427))</f>
      </c>
      <c r="AD427" s="8">
        <f>IF(E427="","",AC427)</f>
      </c>
    </row>
    <row r="428" spans="1:30" x14ac:dyDescent="0.25">
      <c r="A428" s="6"/>
      <c r="B428" s="6"/>
      <c r="C428" s="6"/>
      <c r="F428" s="6"/>
      <c r="G428" s="6"/>
      <c r="L428" s="7"/>
      <c r="M428" s="7"/>
      <c r="N428" s="7"/>
      <c r="O428" s="7"/>
      <c r="P428" s="7"/>
      <c r="Q428" s="7"/>
      <c r="R428" s="7"/>
      <c r="S428" s="8">
        <f>IF(E428="","",SUM(L428:O428) + Q428 + R428)</f>
      </c>
      <c r="T428" s="8">
        <f>IF(E428="","",S428*0.0275)</f>
      </c>
      <c r="U428" s="8">
        <f>IF(E428="","",IF(S428&gt;0, MIN(S428*0.06, 6480), 0))</f>
      </c>
      <c r="V428" s="7"/>
      <c r="W428" s="7"/>
      <c r="X428" s="7"/>
      <c r="Y428" s="8">
        <f>IF(E428="","",S428*0.015)</f>
      </c>
      <c r="Z428" s="8">
        <f>IF(E428="","",MAX(0, S428 - T428 - U428 - V428 - W428 - X428 - Y428 - IF(J428="Yes", 150000, 0)))</f>
      </c>
      <c r="AA428" s="8">
        <f>IF(E428="","",IF(OR(L428&gt;0, E428&lt;&gt;""), 2400, 0))</f>
      </c>
      <c r="AB428" s="7"/>
      <c r="AC428" s="8">
        <f>IF(E428="","",MAX(0, MAX(0, Z428*0.1) + MAX(0, (Z428-24000)*0.15) + MAX(0, (Z428-32333)*0.05) + MAX(0, (Z428-500000)*0.025) + MAX(0, (Z428-800000)*0.025) - AA428 - AB428))</f>
      </c>
      <c r="AD428" s="8">
        <f>IF(E428="","",AC428)</f>
      </c>
    </row>
    <row r="429" spans="1:30" x14ac:dyDescent="0.25">
      <c r="A429" s="6"/>
      <c r="B429" s="6"/>
      <c r="C429" s="6"/>
      <c r="F429" s="6"/>
      <c r="G429" s="6"/>
      <c r="L429" s="7"/>
      <c r="M429" s="7"/>
      <c r="N429" s="7"/>
      <c r="O429" s="7"/>
      <c r="P429" s="7"/>
      <c r="Q429" s="7"/>
      <c r="R429" s="7"/>
      <c r="S429" s="8">
        <f>IF(E429="","",SUM(L429:O429) + Q429 + R429)</f>
      </c>
      <c r="T429" s="8">
        <f>IF(E429="","",S429*0.0275)</f>
      </c>
      <c r="U429" s="8">
        <f>IF(E429="","",IF(S429&gt;0, MIN(S429*0.06, 6480), 0))</f>
      </c>
      <c r="V429" s="7"/>
      <c r="W429" s="7"/>
      <c r="X429" s="7"/>
      <c r="Y429" s="8">
        <f>IF(E429="","",S429*0.015)</f>
      </c>
      <c r="Z429" s="8">
        <f>IF(E429="","",MAX(0, S429 - T429 - U429 - V429 - W429 - X429 - Y429 - IF(J429="Yes", 150000, 0)))</f>
      </c>
      <c r="AA429" s="8">
        <f>IF(E429="","",IF(OR(L429&gt;0, E429&lt;&gt;""), 2400, 0))</f>
      </c>
      <c r="AB429" s="7"/>
      <c r="AC429" s="8">
        <f>IF(E429="","",MAX(0, MAX(0, Z429*0.1) + MAX(0, (Z429-24000)*0.15) + MAX(0, (Z429-32333)*0.05) + MAX(0, (Z429-500000)*0.025) + MAX(0, (Z429-800000)*0.025) - AA429 - AB429))</f>
      </c>
      <c r="AD429" s="8">
        <f>IF(E429="","",AC429)</f>
      </c>
    </row>
    <row r="430" spans="1:30" x14ac:dyDescent="0.25">
      <c r="A430" s="6"/>
      <c r="B430" s="6"/>
      <c r="C430" s="6"/>
      <c r="F430" s="6"/>
      <c r="G430" s="6"/>
      <c r="L430" s="7"/>
      <c r="M430" s="7"/>
      <c r="N430" s="7"/>
      <c r="O430" s="7"/>
      <c r="P430" s="7"/>
      <c r="Q430" s="7"/>
      <c r="R430" s="7"/>
      <c r="S430" s="8">
        <f>IF(E430="","",SUM(L430:O430) + Q430 + R430)</f>
      </c>
      <c r="T430" s="8">
        <f>IF(E430="","",S430*0.0275)</f>
      </c>
      <c r="U430" s="8">
        <f>IF(E430="","",IF(S430&gt;0, MIN(S430*0.06, 6480), 0))</f>
      </c>
      <c r="V430" s="7"/>
      <c r="W430" s="7"/>
      <c r="X430" s="7"/>
      <c r="Y430" s="8">
        <f>IF(E430="","",S430*0.015)</f>
      </c>
      <c r="Z430" s="8">
        <f>IF(E430="","",MAX(0, S430 - T430 - U430 - V430 - W430 - X430 - Y430 - IF(J430="Yes", 150000, 0)))</f>
      </c>
      <c r="AA430" s="8">
        <f>IF(E430="","",IF(OR(L430&gt;0, E430&lt;&gt;""), 2400, 0))</f>
      </c>
      <c r="AB430" s="7"/>
      <c r="AC430" s="8">
        <f>IF(E430="","",MAX(0, MAX(0, Z430*0.1) + MAX(0, (Z430-24000)*0.15) + MAX(0, (Z430-32333)*0.05) + MAX(0, (Z430-500000)*0.025) + MAX(0, (Z430-800000)*0.025) - AA430 - AB430))</f>
      </c>
      <c r="AD430" s="8">
        <f>IF(E430="","",AC430)</f>
      </c>
    </row>
    <row r="431" spans="1:30" x14ac:dyDescent="0.25">
      <c r="A431" s="6"/>
      <c r="B431" s="6"/>
      <c r="C431" s="6"/>
      <c r="F431" s="6"/>
      <c r="G431" s="6"/>
      <c r="L431" s="7"/>
      <c r="M431" s="7"/>
      <c r="N431" s="7"/>
      <c r="O431" s="7"/>
      <c r="P431" s="7"/>
      <c r="Q431" s="7"/>
      <c r="R431" s="7"/>
      <c r="S431" s="8">
        <f>IF(E431="","",SUM(L431:O431) + Q431 + R431)</f>
      </c>
      <c r="T431" s="8">
        <f>IF(E431="","",S431*0.0275)</f>
      </c>
      <c r="U431" s="8">
        <f>IF(E431="","",IF(S431&gt;0, MIN(S431*0.06, 6480), 0))</f>
      </c>
      <c r="V431" s="7"/>
      <c r="W431" s="7"/>
      <c r="X431" s="7"/>
      <c r="Y431" s="8">
        <f>IF(E431="","",S431*0.015)</f>
      </c>
      <c r="Z431" s="8">
        <f>IF(E431="","",MAX(0, S431 - T431 - U431 - V431 - W431 - X431 - Y431 - IF(J431="Yes", 150000, 0)))</f>
      </c>
      <c r="AA431" s="8">
        <f>IF(E431="","",IF(OR(L431&gt;0, E431&lt;&gt;""), 2400, 0))</f>
      </c>
      <c r="AB431" s="7"/>
      <c r="AC431" s="8">
        <f>IF(E431="","",MAX(0, MAX(0, Z431*0.1) + MAX(0, (Z431-24000)*0.15) + MAX(0, (Z431-32333)*0.05) + MAX(0, (Z431-500000)*0.025) + MAX(0, (Z431-800000)*0.025) - AA431 - AB431))</f>
      </c>
      <c r="AD431" s="8">
        <f>IF(E431="","",AC431)</f>
      </c>
    </row>
    <row r="432" spans="1:30" x14ac:dyDescent="0.25">
      <c r="A432" s="6"/>
      <c r="B432" s="6"/>
      <c r="C432" s="6"/>
      <c r="F432" s="6"/>
      <c r="G432" s="6"/>
      <c r="L432" s="7"/>
      <c r="M432" s="7"/>
      <c r="N432" s="7"/>
      <c r="O432" s="7"/>
      <c r="P432" s="7"/>
      <c r="Q432" s="7"/>
      <c r="R432" s="7"/>
      <c r="S432" s="8">
        <f>IF(E432="","",SUM(L432:O432) + Q432 + R432)</f>
      </c>
      <c r="T432" s="8">
        <f>IF(E432="","",S432*0.0275)</f>
      </c>
      <c r="U432" s="8">
        <f>IF(E432="","",IF(S432&gt;0, MIN(S432*0.06, 6480), 0))</f>
      </c>
      <c r="V432" s="7"/>
      <c r="W432" s="7"/>
      <c r="X432" s="7"/>
      <c r="Y432" s="8">
        <f>IF(E432="","",S432*0.015)</f>
      </c>
      <c r="Z432" s="8">
        <f>IF(E432="","",MAX(0, S432 - T432 - U432 - V432 - W432 - X432 - Y432 - IF(J432="Yes", 150000, 0)))</f>
      </c>
      <c r="AA432" s="8">
        <f>IF(E432="","",IF(OR(L432&gt;0, E432&lt;&gt;""), 2400, 0))</f>
      </c>
      <c r="AB432" s="7"/>
      <c r="AC432" s="8">
        <f>IF(E432="","",MAX(0, MAX(0, Z432*0.1) + MAX(0, (Z432-24000)*0.15) + MAX(0, (Z432-32333)*0.05) + MAX(0, (Z432-500000)*0.025) + MAX(0, (Z432-800000)*0.025) - AA432 - AB432))</f>
      </c>
      <c r="AD432" s="8">
        <f>IF(E432="","",AC432)</f>
      </c>
    </row>
    <row r="433" spans="1:30" x14ac:dyDescent="0.25">
      <c r="A433" s="6"/>
      <c r="B433" s="6"/>
      <c r="C433" s="6"/>
      <c r="F433" s="6"/>
      <c r="G433" s="6"/>
      <c r="L433" s="7"/>
      <c r="M433" s="7"/>
      <c r="N433" s="7"/>
      <c r="O433" s="7"/>
      <c r="P433" s="7"/>
      <c r="Q433" s="7"/>
      <c r="R433" s="7"/>
      <c r="S433" s="8">
        <f>IF(E433="","",SUM(L433:O433) + Q433 + R433)</f>
      </c>
      <c r="T433" s="8">
        <f>IF(E433="","",S433*0.0275)</f>
      </c>
      <c r="U433" s="8">
        <f>IF(E433="","",IF(S433&gt;0, MIN(S433*0.06, 6480), 0))</f>
      </c>
      <c r="V433" s="7"/>
      <c r="W433" s="7"/>
      <c r="X433" s="7"/>
      <c r="Y433" s="8">
        <f>IF(E433="","",S433*0.015)</f>
      </c>
      <c r="Z433" s="8">
        <f>IF(E433="","",MAX(0, S433 - T433 - U433 - V433 - W433 - X433 - Y433 - IF(J433="Yes", 150000, 0)))</f>
      </c>
      <c r="AA433" s="8">
        <f>IF(E433="","",IF(OR(L433&gt;0, E433&lt;&gt;""), 2400, 0))</f>
      </c>
      <c r="AB433" s="7"/>
      <c r="AC433" s="8">
        <f>IF(E433="","",MAX(0, MAX(0, Z433*0.1) + MAX(0, (Z433-24000)*0.15) + MAX(0, (Z433-32333)*0.05) + MAX(0, (Z433-500000)*0.025) + MAX(0, (Z433-800000)*0.025) - AA433 - AB433))</f>
      </c>
      <c r="AD433" s="8">
        <f>IF(E433="","",AC433)</f>
      </c>
    </row>
    <row r="434" spans="1:30" x14ac:dyDescent="0.25">
      <c r="A434" s="6"/>
      <c r="B434" s="6"/>
      <c r="C434" s="6"/>
      <c r="F434" s="6"/>
      <c r="G434" s="6"/>
      <c r="L434" s="7"/>
      <c r="M434" s="7"/>
      <c r="N434" s="7"/>
      <c r="O434" s="7"/>
      <c r="P434" s="7"/>
      <c r="Q434" s="7"/>
      <c r="R434" s="7"/>
      <c r="S434" s="8">
        <f>IF(E434="","",SUM(L434:O434) + Q434 + R434)</f>
      </c>
      <c r="T434" s="8">
        <f>IF(E434="","",S434*0.0275)</f>
      </c>
      <c r="U434" s="8">
        <f>IF(E434="","",IF(S434&gt;0, MIN(S434*0.06, 6480), 0))</f>
      </c>
      <c r="V434" s="7"/>
      <c r="W434" s="7"/>
      <c r="X434" s="7"/>
      <c r="Y434" s="8">
        <f>IF(E434="","",S434*0.015)</f>
      </c>
      <c r="Z434" s="8">
        <f>IF(E434="","",MAX(0, S434 - T434 - U434 - V434 - W434 - X434 - Y434 - IF(J434="Yes", 150000, 0)))</f>
      </c>
      <c r="AA434" s="8">
        <f>IF(E434="","",IF(OR(L434&gt;0, E434&lt;&gt;""), 2400, 0))</f>
      </c>
      <c r="AB434" s="7"/>
      <c r="AC434" s="8">
        <f>IF(E434="","",MAX(0, MAX(0, Z434*0.1) + MAX(0, (Z434-24000)*0.15) + MAX(0, (Z434-32333)*0.05) + MAX(0, (Z434-500000)*0.025) + MAX(0, (Z434-800000)*0.025) - AA434 - AB434))</f>
      </c>
      <c r="AD434" s="8">
        <f>IF(E434="","",AC434)</f>
      </c>
    </row>
    <row r="435" spans="1:30" x14ac:dyDescent="0.25">
      <c r="A435" s="6"/>
      <c r="B435" s="6"/>
      <c r="C435" s="6"/>
      <c r="F435" s="6"/>
      <c r="G435" s="6"/>
      <c r="L435" s="7"/>
      <c r="M435" s="7"/>
      <c r="N435" s="7"/>
      <c r="O435" s="7"/>
      <c r="P435" s="7"/>
      <c r="Q435" s="7"/>
      <c r="R435" s="7"/>
      <c r="S435" s="8">
        <f>IF(E435="","",SUM(L435:O435) + Q435 + R435)</f>
      </c>
      <c r="T435" s="8">
        <f>IF(E435="","",S435*0.0275)</f>
      </c>
      <c r="U435" s="8">
        <f>IF(E435="","",IF(S435&gt;0, MIN(S435*0.06, 6480), 0))</f>
      </c>
      <c r="V435" s="7"/>
      <c r="W435" s="7"/>
      <c r="X435" s="7"/>
      <c r="Y435" s="8">
        <f>IF(E435="","",S435*0.015)</f>
      </c>
      <c r="Z435" s="8">
        <f>IF(E435="","",MAX(0, S435 - T435 - U435 - V435 - W435 - X435 - Y435 - IF(J435="Yes", 150000, 0)))</f>
      </c>
      <c r="AA435" s="8">
        <f>IF(E435="","",IF(OR(L435&gt;0, E435&lt;&gt;""), 2400, 0))</f>
      </c>
      <c r="AB435" s="7"/>
      <c r="AC435" s="8">
        <f>IF(E435="","",MAX(0, MAX(0, Z435*0.1) + MAX(0, (Z435-24000)*0.15) + MAX(0, (Z435-32333)*0.05) + MAX(0, (Z435-500000)*0.025) + MAX(0, (Z435-800000)*0.025) - AA435 - AB435))</f>
      </c>
      <c r="AD435" s="8">
        <f>IF(E435="","",AC435)</f>
      </c>
    </row>
    <row r="436" spans="1:30" x14ac:dyDescent="0.25">
      <c r="A436" s="6"/>
      <c r="B436" s="6"/>
      <c r="C436" s="6"/>
      <c r="F436" s="6"/>
      <c r="G436" s="6"/>
      <c r="L436" s="7"/>
      <c r="M436" s="7"/>
      <c r="N436" s="7"/>
      <c r="O436" s="7"/>
      <c r="P436" s="7"/>
      <c r="Q436" s="7"/>
      <c r="R436" s="7"/>
      <c r="S436" s="8">
        <f>IF(E436="","",SUM(L436:O436) + Q436 + R436)</f>
      </c>
      <c r="T436" s="8">
        <f>IF(E436="","",S436*0.0275)</f>
      </c>
      <c r="U436" s="8">
        <f>IF(E436="","",IF(S436&gt;0, MIN(S436*0.06, 6480), 0))</f>
      </c>
      <c r="V436" s="7"/>
      <c r="W436" s="7"/>
      <c r="X436" s="7"/>
      <c r="Y436" s="8">
        <f>IF(E436="","",S436*0.015)</f>
      </c>
      <c r="Z436" s="8">
        <f>IF(E436="","",MAX(0, S436 - T436 - U436 - V436 - W436 - X436 - Y436 - IF(J436="Yes", 150000, 0)))</f>
      </c>
      <c r="AA436" s="8">
        <f>IF(E436="","",IF(OR(L436&gt;0, E436&lt;&gt;""), 2400, 0))</f>
      </c>
      <c r="AB436" s="7"/>
      <c r="AC436" s="8">
        <f>IF(E436="","",MAX(0, MAX(0, Z436*0.1) + MAX(0, (Z436-24000)*0.15) + MAX(0, (Z436-32333)*0.05) + MAX(0, (Z436-500000)*0.025) + MAX(0, (Z436-800000)*0.025) - AA436 - AB436))</f>
      </c>
      <c r="AD436" s="8">
        <f>IF(E436="","",AC436)</f>
      </c>
    </row>
    <row r="437" spans="1:30" x14ac:dyDescent="0.25">
      <c r="A437" s="6"/>
      <c r="B437" s="6"/>
      <c r="C437" s="6"/>
      <c r="F437" s="6"/>
      <c r="G437" s="6"/>
      <c r="L437" s="7"/>
      <c r="M437" s="7"/>
      <c r="N437" s="7"/>
      <c r="O437" s="7"/>
      <c r="P437" s="7"/>
      <c r="Q437" s="7"/>
      <c r="R437" s="7"/>
      <c r="S437" s="8">
        <f>IF(E437="","",SUM(L437:O437) + Q437 + R437)</f>
      </c>
      <c r="T437" s="8">
        <f>IF(E437="","",S437*0.0275)</f>
      </c>
      <c r="U437" s="8">
        <f>IF(E437="","",IF(S437&gt;0, MIN(S437*0.06, 6480), 0))</f>
      </c>
      <c r="V437" s="7"/>
      <c r="W437" s="7"/>
      <c r="X437" s="7"/>
      <c r="Y437" s="8">
        <f>IF(E437="","",S437*0.015)</f>
      </c>
      <c r="Z437" s="8">
        <f>IF(E437="","",MAX(0, S437 - T437 - U437 - V437 - W437 - X437 - Y437 - IF(J437="Yes", 150000, 0)))</f>
      </c>
      <c r="AA437" s="8">
        <f>IF(E437="","",IF(OR(L437&gt;0, E437&lt;&gt;""), 2400, 0))</f>
      </c>
      <c r="AB437" s="7"/>
      <c r="AC437" s="8">
        <f>IF(E437="","",MAX(0, MAX(0, Z437*0.1) + MAX(0, (Z437-24000)*0.15) + MAX(0, (Z437-32333)*0.05) + MAX(0, (Z437-500000)*0.025) + MAX(0, (Z437-800000)*0.025) - AA437 - AB437))</f>
      </c>
      <c r="AD437" s="8">
        <f>IF(E437="","",AC437)</f>
      </c>
    </row>
    <row r="438" spans="1:30" x14ac:dyDescent="0.25">
      <c r="A438" s="6"/>
      <c r="B438" s="6"/>
      <c r="C438" s="6"/>
      <c r="F438" s="6"/>
      <c r="G438" s="6"/>
      <c r="L438" s="7"/>
      <c r="M438" s="7"/>
      <c r="N438" s="7"/>
      <c r="O438" s="7"/>
      <c r="P438" s="7"/>
      <c r="Q438" s="7"/>
      <c r="R438" s="7"/>
      <c r="S438" s="8">
        <f>IF(E438="","",SUM(L438:O438) + Q438 + R438)</f>
      </c>
      <c r="T438" s="8">
        <f>IF(E438="","",S438*0.0275)</f>
      </c>
      <c r="U438" s="8">
        <f>IF(E438="","",IF(S438&gt;0, MIN(S438*0.06, 6480), 0))</f>
      </c>
      <c r="V438" s="7"/>
      <c r="W438" s="7"/>
      <c r="X438" s="7"/>
      <c r="Y438" s="8">
        <f>IF(E438="","",S438*0.015)</f>
      </c>
      <c r="Z438" s="8">
        <f>IF(E438="","",MAX(0, S438 - T438 - U438 - V438 - W438 - X438 - Y438 - IF(J438="Yes", 150000, 0)))</f>
      </c>
      <c r="AA438" s="8">
        <f>IF(E438="","",IF(OR(L438&gt;0, E438&lt;&gt;""), 2400, 0))</f>
      </c>
      <c r="AB438" s="7"/>
      <c r="AC438" s="8">
        <f>IF(E438="","",MAX(0, MAX(0, Z438*0.1) + MAX(0, (Z438-24000)*0.15) + MAX(0, (Z438-32333)*0.05) + MAX(0, (Z438-500000)*0.025) + MAX(0, (Z438-800000)*0.025) - AA438 - AB438))</f>
      </c>
      <c r="AD438" s="8">
        <f>IF(E438="","",AC438)</f>
      </c>
    </row>
    <row r="439" spans="1:30" x14ac:dyDescent="0.25">
      <c r="A439" s="6"/>
      <c r="B439" s="6"/>
      <c r="C439" s="6"/>
      <c r="F439" s="6"/>
      <c r="G439" s="6"/>
      <c r="L439" s="7"/>
      <c r="M439" s="7"/>
      <c r="N439" s="7"/>
      <c r="O439" s="7"/>
      <c r="P439" s="7"/>
      <c r="Q439" s="7"/>
      <c r="R439" s="7"/>
      <c r="S439" s="8">
        <f>IF(E439="","",SUM(L439:O439) + Q439 + R439)</f>
      </c>
      <c r="T439" s="8">
        <f>IF(E439="","",S439*0.0275)</f>
      </c>
      <c r="U439" s="8">
        <f>IF(E439="","",IF(S439&gt;0, MIN(S439*0.06, 6480), 0))</f>
      </c>
      <c r="V439" s="7"/>
      <c r="W439" s="7"/>
      <c r="X439" s="7"/>
      <c r="Y439" s="8">
        <f>IF(E439="","",S439*0.015)</f>
      </c>
      <c r="Z439" s="8">
        <f>IF(E439="","",MAX(0, S439 - T439 - U439 - V439 - W439 - X439 - Y439 - IF(J439="Yes", 150000, 0)))</f>
      </c>
      <c r="AA439" s="8">
        <f>IF(E439="","",IF(OR(L439&gt;0, E439&lt;&gt;""), 2400, 0))</f>
      </c>
      <c r="AB439" s="7"/>
      <c r="AC439" s="8">
        <f>IF(E439="","",MAX(0, MAX(0, Z439*0.1) + MAX(0, (Z439-24000)*0.15) + MAX(0, (Z439-32333)*0.05) + MAX(0, (Z439-500000)*0.025) + MAX(0, (Z439-800000)*0.025) - AA439 - AB439))</f>
      </c>
      <c r="AD439" s="8">
        <f>IF(E439="","",AC439)</f>
      </c>
    </row>
    <row r="440" spans="1:30" x14ac:dyDescent="0.25">
      <c r="A440" s="6"/>
      <c r="B440" s="6"/>
      <c r="C440" s="6"/>
      <c r="F440" s="6"/>
      <c r="G440" s="6"/>
      <c r="L440" s="7"/>
      <c r="M440" s="7"/>
      <c r="N440" s="7"/>
      <c r="O440" s="7"/>
      <c r="P440" s="7"/>
      <c r="Q440" s="7"/>
      <c r="R440" s="7"/>
      <c r="S440" s="8">
        <f>IF(E440="","",SUM(L440:O440) + Q440 + R440)</f>
      </c>
      <c r="T440" s="8">
        <f>IF(E440="","",S440*0.0275)</f>
      </c>
      <c r="U440" s="8">
        <f>IF(E440="","",IF(S440&gt;0, MIN(S440*0.06, 6480), 0))</f>
      </c>
      <c r="V440" s="7"/>
      <c r="W440" s="7"/>
      <c r="X440" s="7"/>
      <c r="Y440" s="8">
        <f>IF(E440="","",S440*0.015)</f>
      </c>
      <c r="Z440" s="8">
        <f>IF(E440="","",MAX(0, S440 - T440 - U440 - V440 - W440 - X440 - Y440 - IF(J440="Yes", 150000, 0)))</f>
      </c>
      <c r="AA440" s="8">
        <f>IF(E440="","",IF(OR(L440&gt;0, E440&lt;&gt;""), 2400, 0))</f>
      </c>
      <c r="AB440" s="7"/>
      <c r="AC440" s="8">
        <f>IF(E440="","",MAX(0, MAX(0, Z440*0.1) + MAX(0, (Z440-24000)*0.15) + MAX(0, (Z440-32333)*0.05) + MAX(0, (Z440-500000)*0.025) + MAX(0, (Z440-800000)*0.025) - AA440 - AB440))</f>
      </c>
      <c r="AD440" s="8">
        <f>IF(E440="","",AC440)</f>
      </c>
    </row>
    <row r="441" spans="1:30" x14ac:dyDescent="0.25">
      <c r="A441" s="6"/>
      <c r="B441" s="6"/>
      <c r="C441" s="6"/>
      <c r="F441" s="6"/>
      <c r="G441" s="6"/>
      <c r="L441" s="7"/>
      <c r="M441" s="7"/>
      <c r="N441" s="7"/>
      <c r="O441" s="7"/>
      <c r="P441" s="7"/>
      <c r="Q441" s="7"/>
      <c r="R441" s="7"/>
      <c r="S441" s="8">
        <f>IF(E441="","",SUM(L441:O441) + Q441 + R441)</f>
      </c>
      <c r="T441" s="8">
        <f>IF(E441="","",S441*0.0275)</f>
      </c>
      <c r="U441" s="8">
        <f>IF(E441="","",IF(S441&gt;0, MIN(S441*0.06, 6480), 0))</f>
      </c>
      <c r="V441" s="7"/>
      <c r="W441" s="7"/>
      <c r="X441" s="7"/>
      <c r="Y441" s="8">
        <f>IF(E441="","",S441*0.015)</f>
      </c>
      <c r="Z441" s="8">
        <f>IF(E441="","",MAX(0, S441 - T441 - U441 - V441 - W441 - X441 - Y441 - IF(J441="Yes", 150000, 0)))</f>
      </c>
      <c r="AA441" s="8">
        <f>IF(E441="","",IF(OR(L441&gt;0, E441&lt;&gt;""), 2400, 0))</f>
      </c>
      <c r="AB441" s="7"/>
      <c r="AC441" s="8">
        <f>IF(E441="","",MAX(0, MAX(0, Z441*0.1) + MAX(0, (Z441-24000)*0.15) + MAX(0, (Z441-32333)*0.05) + MAX(0, (Z441-500000)*0.025) + MAX(0, (Z441-800000)*0.025) - AA441 - AB441))</f>
      </c>
      <c r="AD441" s="8">
        <f>IF(E441="","",AC441)</f>
      </c>
    </row>
    <row r="442" spans="1:30" x14ac:dyDescent="0.25">
      <c r="A442" s="6"/>
      <c r="B442" s="6"/>
      <c r="C442" s="6"/>
      <c r="F442" s="6"/>
      <c r="G442" s="6"/>
      <c r="L442" s="7"/>
      <c r="M442" s="7"/>
      <c r="N442" s="7"/>
      <c r="O442" s="7"/>
      <c r="P442" s="7"/>
      <c r="Q442" s="7"/>
      <c r="R442" s="7"/>
      <c r="S442" s="8">
        <f>IF(E442="","",SUM(L442:O442) + Q442 + R442)</f>
      </c>
      <c r="T442" s="8">
        <f>IF(E442="","",S442*0.0275)</f>
      </c>
      <c r="U442" s="8">
        <f>IF(E442="","",IF(S442&gt;0, MIN(S442*0.06, 6480), 0))</f>
      </c>
      <c r="V442" s="7"/>
      <c r="W442" s="7"/>
      <c r="X442" s="7"/>
      <c r="Y442" s="8">
        <f>IF(E442="","",S442*0.015)</f>
      </c>
      <c r="Z442" s="8">
        <f>IF(E442="","",MAX(0, S442 - T442 - U442 - V442 - W442 - X442 - Y442 - IF(J442="Yes", 150000, 0)))</f>
      </c>
      <c r="AA442" s="8">
        <f>IF(E442="","",IF(OR(L442&gt;0, E442&lt;&gt;""), 2400, 0))</f>
      </c>
      <c r="AB442" s="7"/>
      <c r="AC442" s="8">
        <f>IF(E442="","",MAX(0, MAX(0, Z442*0.1) + MAX(0, (Z442-24000)*0.15) + MAX(0, (Z442-32333)*0.05) + MAX(0, (Z442-500000)*0.025) + MAX(0, (Z442-800000)*0.025) - AA442 - AB442))</f>
      </c>
      <c r="AD442" s="8">
        <f>IF(E442="","",AC442)</f>
      </c>
    </row>
    <row r="443" spans="1:30" x14ac:dyDescent="0.25">
      <c r="A443" s="6"/>
      <c r="B443" s="6"/>
      <c r="C443" s="6"/>
      <c r="F443" s="6"/>
      <c r="G443" s="6"/>
      <c r="L443" s="7"/>
      <c r="M443" s="7"/>
      <c r="N443" s="7"/>
      <c r="O443" s="7"/>
      <c r="P443" s="7"/>
      <c r="Q443" s="7"/>
      <c r="R443" s="7"/>
      <c r="S443" s="8">
        <f>IF(E443="","",SUM(L443:O443) + Q443 + R443)</f>
      </c>
      <c r="T443" s="8">
        <f>IF(E443="","",S443*0.0275)</f>
      </c>
      <c r="U443" s="8">
        <f>IF(E443="","",IF(S443&gt;0, MIN(S443*0.06, 6480), 0))</f>
      </c>
      <c r="V443" s="7"/>
      <c r="W443" s="7"/>
      <c r="X443" s="7"/>
      <c r="Y443" s="8">
        <f>IF(E443="","",S443*0.015)</f>
      </c>
      <c r="Z443" s="8">
        <f>IF(E443="","",MAX(0, S443 - T443 - U443 - V443 - W443 - X443 - Y443 - IF(J443="Yes", 150000, 0)))</f>
      </c>
      <c r="AA443" s="8">
        <f>IF(E443="","",IF(OR(L443&gt;0, E443&lt;&gt;""), 2400, 0))</f>
      </c>
      <c r="AB443" s="7"/>
      <c r="AC443" s="8">
        <f>IF(E443="","",MAX(0, MAX(0, Z443*0.1) + MAX(0, (Z443-24000)*0.15) + MAX(0, (Z443-32333)*0.05) + MAX(0, (Z443-500000)*0.025) + MAX(0, (Z443-800000)*0.025) - AA443 - AB443))</f>
      </c>
      <c r="AD443" s="8">
        <f>IF(E443="","",AC443)</f>
      </c>
    </row>
    <row r="444" spans="1:30" x14ac:dyDescent="0.25">
      <c r="A444" s="6"/>
      <c r="B444" s="6"/>
      <c r="C444" s="6"/>
      <c r="F444" s="6"/>
      <c r="G444" s="6"/>
      <c r="L444" s="7"/>
      <c r="M444" s="7"/>
      <c r="N444" s="7"/>
      <c r="O444" s="7"/>
      <c r="P444" s="7"/>
      <c r="Q444" s="7"/>
      <c r="R444" s="7"/>
      <c r="S444" s="8">
        <f>IF(E444="","",SUM(L444:O444) + Q444 + R444)</f>
      </c>
      <c r="T444" s="8">
        <f>IF(E444="","",S444*0.0275)</f>
      </c>
      <c r="U444" s="8">
        <f>IF(E444="","",IF(S444&gt;0, MIN(S444*0.06, 6480), 0))</f>
      </c>
      <c r="V444" s="7"/>
      <c r="W444" s="7"/>
      <c r="X444" s="7"/>
      <c r="Y444" s="8">
        <f>IF(E444="","",S444*0.015)</f>
      </c>
      <c r="Z444" s="8">
        <f>IF(E444="","",MAX(0, S444 - T444 - U444 - V444 - W444 - X444 - Y444 - IF(J444="Yes", 150000, 0)))</f>
      </c>
      <c r="AA444" s="8">
        <f>IF(E444="","",IF(OR(L444&gt;0, E444&lt;&gt;""), 2400, 0))</f>
      </c>
      <c r="AB444" s="7"/>
      <c r="AC444" s="8">
        <f>IF(E444="","",MAX(0, MAX(0, Z444*0.1) + MAX(0, (Z444-24000)*0.15) + MAX(0, (Z444-32333)*0.05) + MAX(0, (Z444-500000)*0.025) + MAX(0, (Z444-800000)*0.025) - AA444 - AB444))</f>
      </c>
      <c r="AD444" s="8">
        <f>IF(E444="","",AC444)</f>
      </c>
    </row>
    <row r="445" spans="1:30" x14ac:dyDescent="0.25">
      <c r="A445" s="6"/>
      <c r="B445" s="6"/>
      <c r="C445" s="6"/>
      <c r="F445" s="6"/>
      <c r="G445" s="6"/>
      <c r="L445" s="7"/>
      <c r="M445" s="7"/>
      <c r="N445" s="7"/>
      <c r="O445" s="7"/>
      <c r="P445" s="7"/>
      <c r="Q445" s="7"/>
      <c r="R445" s="7"/>
      <c r="S445" s="8">
        <f>IF(E445="","",SUM(L445:O445) + Q445 + R445)</f>
      </c>
      <c r="T445" s="8">
        <f>IF(E445="","",S445*0.0275)</f>
      </c>
      <c r="U445" s="8">
        <f>IF(E445="","",IF(S445&gt;0, MIN(S445*0.06, 6480), 0))</f>
      </c>
      <c r="V445" s="7"/>
      <c r="W445" s="7"/>
      <c r="X445" s="7"/>
      <c r="Y445" s="8">
        <f>IF(E445="","",S445*0.015)</f>
      </c>
      <c r="Z445" s="8">
        <f>IF(E445="","",MAX(0, S445 - T445 - U445 - V445 - W445 - X445 - Y445 - IF(J445="Yes", 150000, 0)))</f>
      </c>
      <c r="AA445" s="8">
        <f>IF(E445="","",IF(OR(L445&gt;0, E445&lt;&gt;""), 2400, 0))</f>
      </c>
      <c r="AB445" s="7"/>
      <c r="AC445" s="8">
        <f>IF(E445="","",MAX(0, MAX(0, Z445*0.1) + MAX(0, (Z445-24000)*0.15) + MAX(0, (Z445-32333)*0.05) + MAX(0, (Z445-500000)*0.025) + MAX(0, (Z445-800000)*0.025) - AA445 - AB445))</f>
      </c>
      <c r="AD445" s="8">
        <f>IF(E445="","",AC445)</f>
      </c>
    </row>
    <row r="446" spans="1:30" x14ac:dyDescent="0.25">
      <c r="A446" s="6"/>
      <c r="B446" s="6"/>
      <c r="C446" s="6"/>
      <c r="F446" s="6"/>
      <c r="G446" s="6"/>
      <c r="L446" s="7"/>
      <c r="M446" s="7"/>
      <c r="N446" s="7"/>
      <c r="O446" s="7"/>
      <c r="P446" s="7"/>
      <c r="Q446" s="7"/>
      <c r="R446" s="7"/>
      <c r="S446" s="8">
        <f>IF(E446="","",SUM(L446:O446) + Q446 + R446)</f>
      </c>
      <c r="T446" s="8">
        <f>IF(E446="","",S446*0.0275)</f>
      </c>
      <c r="U446" s="8">
        <f>IF(E446="","",IF(S446&gt;0, MIN(S446*0.06, 6480), 0))</f>
      </c>
      <c r="V446" s="7"/>
      <c r="W446" s="7"/>
      <c r="X446" s="7"/>
      <c r="Y446" s="8">
        <f>IF(E446="","",S446*0.015)</f>
      </c>
      <c r="Z446" s="8">
        <f>IF(E446="","",MAX(0, S446 - T446 - U446 - V446 - W446 - X446 - Y446 - IF(J446="Yes", 150000, 0)))</f>
      </c>
      <c r="AA446" s="8">
        <f>IF(E446="","",IF(OR(L446&gt;0, E446&lt;&gt;""), 2400, 0))</f>
      </c>
      <c r="AB446" s="7"/>
      <c r="AC446" s="8">
        <f>IF(E446="","",MAX(0, MAX(0, Z446*0.1) + MAX(0, (Z446-24000)*0.15) + MAX(0, (Z446-32333)*0.05) + MAX(0, (Z446-500000)*0.025) + MAX(0, (Z446-800000)*0.025) - AA446 - AB446))</f>
      </c>
      <c r="AD446" s="8">
        <f>IF(E446="","",AC446)</f>
      </c>
    </row>
    <row r="447" spans="1:30" x14ac:dyDescent="0.25">
      <c r="A447" s="6"/>
      <c r="B447" s="6"/>
      <c r="C447" s="6"/>
      <c r="F447" s="6"/>
      <c r="G447" s="6"/>
      <c r="L447" s="7"/>
      <c r="M447" s="7"/>
      <c r="N447" s="7"/>
      <c r="O447" s="7"/>
      <c r="P447" s="7"/>
      <c r="Q447" s="7"/>
      <c r="R447" s="7"/>
      <c r="S447" s="8">
        <f>IF(E447="","",SUM(L447:O447) + Q447 + R447)</f>
      </c>
      <c r="T447" s="8">
        <f>IF(E447="","",S447*0.0275)</f>
      </c>
      <c r="U447" s="8">
        <f>IF(E447="","",IF(S447&gt;0, MIN(S447*0.06, 6480), 0))</f>
      </c>
      <c r="V447" s="7"/>
      <c r="W447" s="7"/>
      <c r="X447" s="7"/>
      <c r="Y447" s="8">
        <f>IF(E447="","",S447*0.015)</f>
      </c>
      <c r="Z447" s="8">
        <f>IF(E447="","",MAX(0, S447 - T447 - U447 - V447 - W447 - X447 - Y447 - IF(J447="Yes", 150000, 0)))</f>
      </c>
      <c r="AA447" s="8">
        <f>IF(E447="","",IF(OR(L447&gt;0, E447&lt;&gt;""), 2400, 0))</f>
      </c>
      <c r="AB447" s="7"/>
      <c r="AC447" s="8">
        <f>IF(E447="","",MAX(0, MAX(0, Z447*0.1) + MAX(0, (Z447-24000)*0.15) + MAX(0, (Z447-32333)*0.05) + MAX(0, (Z447-500000)*0.025) + MAX(0, (Z447-800000)*0.025) - AA447 - AB447))</f>
      </c>
      <c r="AD447" s="8">
        <f>IF(E447="","",AC447)</f>
      </c>
    </row>
    <row r="448" spans="1:30" x14ac:dyDescent="0.25">
      <c r="A448" s="6"/>
      <c r="B448" s="6"/>
      <c r="C448" s="6"/>
      <c r="F448" s="6"/>
      <c r="G448" s="6"/>
      <c r="L448" s="7"/>
      <c r="M448" s="7"/>
      <c r="N448" s="7"/>
      <c r="O448" s="7"/>
      <c r="P448" s="7"/>
      <c r="Q448" s="7"/>
      <c r="R448" s="7"/>
      <c r="S448" s="8">
        <f>IF(E448="","",SUM(L448:O448) + Q448 + R448)</f>
      </c>
      <c r="T448" s="8">
        <f>IF(E448="","",S448*0.0275)</f>
      </c>
      <c r="U448" s="8">
        <f>IF(E448="","",IF(S448&gt;0, MIN(S448*0.06, 6480), 0))</f>
      </c>
      <c r="V448" s="7"/>
      <c r="W448" s="7"/>
      <c r="X448" s="7"/>
      <c r="Y448" s="8">
        <f>IF(E448="","",S448*0.015)</f>
      </c>
      <c r="Z448" s="8">
        <f>IF(E448="","",MAX(0, S448 - T448 - U448 - V448 - W448 - X448 - Y448 - IF(J448="Yes", 150000, 0)))</f>
      </c>
      <c r="AA448" s="8">
        <f>IF(E448="","",IF(OR(L448&gt;0, E448&lt;&gt;""), 2400, 0))</f>
      </c>
      <c r="AB448" s="7"/>
      <c r="AC448" s="8">
        <f>IF(E448="","",MAX(0, MAX(0, Z448*0.1) + MAX(0, (Z448-24000)*0.15) + MAX(0, (Z448-32333)*0.05) + MAX(0, (Z448-500000)*0.025) + MAX(0, (Z448-800000)*0.025) - AA448 - AB448))</f>
      </c>
      <c r="AD448" s="8">
        <f>IF(E448="","",AC448)</f>
      </c>
    </row>
    <row r="449" spans="1:30" x14ac:dyDescent="0.25">
      <c r="A449" s="6"/>
      <c r="B449" s="6"/>
      <c r="C449" s="6"/>
      <c r="F449" s="6"/>
      <c r="G449" s="6"/>
      <c r="L449" s="7"/>
      <c r="M449" s="7"/>
      <c r="N449" s="7"/>
      <c r="O449" s="7"/>
      <c r="P449" s="7"/>
      <c r="Q449" s="7"/>
      <c r="R449" s="7"/>
      <c r="S449" s="8">
        <f>IF(E449="","",SUM(L449:O449) + Q449 + R449)</f>
      </c>
      <c r="T449" s="8">
        <f>IF(E449="","",S449*0.0275)</f>
      </c>
      <c r="U449" s="8">
        <f>IF(E449="","",IF(S449&gt;0, MIN(S449*0.06, 6480), 0))</f>
      </c>
      <c r="V449" s="7"/>
      <c r="W449" s="7"/>
      <c r="X449" s="7"/>
      <c r="Y449" s="8">
        <f>IF(E449="","",S449*0.015)</f>
      </c>
      <c r="Z449" s="8">
        <f>IF(E449="","",MAX(0, S449 - T449 - U449 - V449 - W449 - X449 - Y449 - IF(J449="Yes", 150000, 0)))</f>
      </c>
      <c r="AA449" s="8">
        <f>IF(E449="","",IF(OR(L449&gt;0, E449&lt;&gt;""), 2400, 0))</f>
      </c>
      <c r="AB449" s="7"/>
      <c r="AC449" s="8">
        <f>IF(E449="","",MAX(0, MAX(0, Z449*0.1) + MAX(0, (Z449-24000)*0.15) + MAX(0, (Z449-32333)*0.05) + MAX(0, (Z449-500000)*0.025) + MAX(0, (Z449-800000)*0.025) - AA449 - AB449))</f>
      </c>
      <c r="AD449" s="8">
        <f>IF(E449="","",AC449)</f>
      </c>
    </row>
    <row r="450" spans="1:30" x14ac:dyDescent="0.25">
      <c r="A450" s="6"/>
      <c r="B450" s="6"/>
      <c r="C450" s="6"/>
      <c r="F450" s="6"/>
      <c r="G450" s="6"/>
      <c r="L450" s="7"/>
      <c r="M450" s="7"/>
      <c r="N450" s="7"/>
      <c r="O450" s="7"/>
      <c r="P450" s="7"/>
      <c r="Q450" s="7"/>
      <c r="R450" s="7"/>
      <c r="S450" s="8">
        <f>IF(E450="","",SUM(L450:O450) + Q450 + R450)</f>
      </c>
      <c r="T450" s="8">
        <f>IF(E450="","",S450*0.0275)</f>
      </c>
      <c r="U450" s="8">
        <f>IF(E450="","",IF(S450&gt;0, MIN(S450*0.06, 6480), 0))</f>
      </c>
      <c r="V450" s="7"/>
      <c r="W450" s="7"/>
      <c r="X450" s="7"/>
      <c r="Y450" s="8">
        <f>IF(E450="","",S450*0.015)</f>
      </c>
      <c r="Z450" s="8">
        <f>IF(E450="","",MAX(0, S450 - T450 - U450 - V450 - W450 - X450 - Y450 - IF(J450="Yes", 150000, 0)))</f>
      </c>
      <c r="AA450" s="8">
        <f>IF(E450="","",IF(OR(L450&gt;0, E450&lt;&gt;""), 2400, 0))</f>
      </c>
      <c r="AB450" s="7"/>
      <c r="AC450" s="8">
        <f>IF(E450="","",MAX(0, MAX(0, Z450*0.1) + MAX(0, (Z450-24000)*0.15) + MAX(0, (Z450-32333)*0.05) + MAX(0, (Z450-500000)*0.025) + MAX(0, (Z450-800000)*0.025) - AA450 - AB450))</f>
      </c>
      <c r="AD450" s="8">
        <f>IF(E450="","",AC450)</f>
      </c>
    </row>
    <row r="451" spans="1:30" x14ac:dyDescent="0.25">
      <c r="A451" s="6"/>
      <c r="B451" s="6"/>
      <c r="C451" s="6"/>
      <c r="F451" s="6"/>
      <c r="G451" s="6"/>
      <c r="L451" s="7"/>
      <c r="M451" s="7"/>
      <c r="N451" s="7"/>
      <c r="O451" s="7"/>
      <c r="P451" s="7"/>
      <c r="Q451" s="7"/>
      <c r="R451" s="7"/>
      <c r="S451" s="8">
        <f>IF(E451="","",SUM(L451:O451) + Q451 + R451)</f>
      </c>
      <c r="T451" s="8">
        <f>IF(E451="","",S451*0.0275)</f>
      </c>
      <c r="U451" s="8">
        <f>IF(E451="","",IF(S451&gt;0, MIN(S451*0.06, 6480), 0))</f>
      </c>
      <c r="V451" s="7"/>
      <c r="W451" s="7"/>
      <c r="X451" s="7"/>
      <c r="Y451" s="8">
        <f>IF(E451="","",S451*0.015)</f>
      </c>
      <c r="Z451" s="8">
        <f>IF(E451="","",MAX(0, S451 - T451 - U451 - V451 - W451 - X451 - Y451 - IF(J451="Yes", 150000, 0)))</f>
      </c>
      <c r="AA451" s="8">
        <f>IF(E451="","",IF(OR(L451&gt;0, E451&lt;&gt;""), 2400, 0))</f>
      </c>
      <c r="AB451" s="7"/>
      <c r="AC451" s="8">
        <f>IF(E451="","",MAX(0, MAX(0, Z451*0.1) + MAX(0, (Z451-24000)*0.15) + MAX(0, (Z451-32333)*0.05) + MAX(0, (Z451-500000)*0.025) + MAX(0, (Z451-800000)*0.025) - AA451 - AB451))</f>
      </c>
      <c r="AD451" s="8">
        <f>IF(E451="","",AC451)</f>
      </c>
    </row>
    <row r="452" spans="1:30" x14ac:dyDescent="0.25">
      <c r="A452" s="6"/>
      <c r="B452" s="6"/>
      <c r="C452" s="6"/>
      <c r="F452" s="6"/>
      <c r="G452" s="6"/>
      <c r="L452" s="7"/>
      <c r="M452" s="7"/>
      <c r="N452" s="7"/>
      <c r="O452" s="7"/>
      <c r="P452" s="7"/>
      <c r="Q452" s="7"/>
      <c r="R452" s="7"/>
      <c r="S452" s="8">
        <f>IF(E452="","",SUM(L452:O452) + Q452 + R452)</f>
      </c>
      <c r="T452" s="8">
        <f>IF(E452="","",S452*0.0275)</f>
      </c>
      <c r="U452" s="8">
        <f>IF(E452="","",IF(S452&gt;0, MIN(S452*0.06, 6480), 0))</f>
      </c>
      <c r="V452" s="7"/>
      <c r="W452" s="7"/>
      <c r="X452" s="7"/>
      <c r="Y452" s="8">
        <f>IF(E452="","",S452*0.015)</f>
      </c>
      <c r="Z452" s="8">
        <f>IF(E452="","",MAX(0, S452 - T452 - U452 - V452 - W452 - X452 - Y452 - IF(J452="Yes", 150000, 0)))</f>
      </c>
      <c r="AA452" s="8">
        <f>IF(E452="","",IF(OR(L452&gt;0, E452&lt;&gt;""), 2400, 0))</f>
      </c>
      <c r="AB452" s="7"/>
      <c r="AC452" s="8">
        <f>IF(E452="","",MAX(0, MAX(0, Z452*0.1) + MAX(0, (Z452-24000)*0.15) + MAX(0, (Z452-32333)*0.05) + MAX(0, (Z452-500000)*0.025) + MAX(0, (Z452-800000)*0.025) - AA452 - AB452))</f>
      </c>
      <c r="AD452" s="8">
        <f>IF(E452="","",AC452)</f>
      </c>
    </row>
    <row r="453" spans="1:30" x14ac:dyDescent="0.25">
      <c r="A453" s="6"/>
      <c r="B453" s="6"/>
      <c r="C453" s="6"/>
      <c r="F453" s="6"/>
      <c r="G453" s="6"/>
      <c r="L453" s="7"/>
      <c r="M453" s="7"/>
      <c r="N453" s="7"/>
      <c r="O453" s="7"/>
      <c r="P453" s="7"/>
      <c r="Q453" s="7"/>
      <c r="R453" s="7"/>
      <c r="S453" s="8">
        <f>IF(E453="","",SUM(L453:O453) + Q453 + R453)</f>
      </c>
      <c r="T453" s="8">
        <f>IF(E453="","",S453*0.0275)</f>
      </c>
      <c r="U453" s="8">
        <f>IF(E453="","",IF(S453&gt;0, MIN(S453*0.06, 6480), 0))</f>
      </c>
      <c r="V453" s="7"/>
      <c r="W453" s="7"/>
      <c r="X453" s="7"/>
      <c r="Y453" s="8">
        <f>IF(E453="","",S453*0.015)</f>
      </c>
      <c r="Z453" s="8">
        <f>IF(E453="","",MAX(0, S453 - T453 - U453 - V453 - W453 - X453 - Y453 - IF(J453="Yes", 150000, 0)))</f>
      </c>
      <c r="AA453" s="8">
        <f>IF(E453="","",IF(OR(L453&gt;0, E453&lt;&gt;""), 2400, 0))</f>
      </c>
      <c r="AB453" s="7"/>
      <c r="AC453" s="8">
        <f>IF(E453="","",MAX(0, MAX(0, Z453*0.1) + MAX(0, (Z453-24000)*0.15) + MAX(0, (Z453-32333)*0.05) + MAX(0, (Z453-500000)*0.025) + MAX(0, (Z453-800000)*0.025) - AA453 - AB453))</f>
      </c>
      <c r="AD453" s="8">
        <f>IF(E453="","",AC453)</f>
      </c>
    </row>
    <row r="454" spans="1:30" x14ac:dyDescent="0.25">
      <c r="A454" s="6"/>
      <c r="B454" s="6"/>
      <c r="C454" s="6"/>
      <c r="F454" s="6"/>
      <c r="G454" s="6"/>
      <c r="L454" s="7"/>
      <c r="M454" s="7"/>
      <c r="N454" s="7"/>
      <c r="O454" s="7"/>
      <c r="P454" s="7"/>
      <c r="Q454" s="7"/>
      <c r="R454" s="7"/>
      <c r="S454" s="8">
        <f>IF(E454="","",SUM(L454:O454) + Q454 + R454)</f>
      </c>
      <c r="T454" s="8">
        <f>IF(E454="","",S454*0.0275)</f>
      </c>
      <c r="U454" s="8">
        <f>IF(E454="","",IF(S454&gt;0, MIN(S454*0.06, 6480), 0))</f>
      </c>
      <c r="V454" s="7"/>
      <c r="W454" s="7"/>
      <c r="X454" s="7"/>
      <c r="Y454" s="8">
        <f>IF(E454="","",S454*0.015)</f>
      </c>
      <c r="Z454" s="8">
        <f>IF(E454="","",MAX(0, S454 - T454 - U454 - V454 - W454 - X454 - Y454 - IF(J454="Yes", 150000, 0)))</f>
      </c>
      <c r="AA454" s="8">
        <f>IF(E454="","",IF(OR(L454&gt;0, E454&lt;&gt;""), 2400, 0))</f>
      </c>
      <c r="AB454" s="7"/>
      <c r="AC454" s="8">
        <f>IF(E454="","",MAX(0, MAX(0, Z454*0.1) + MAX(0, (Z454-24000)*0.15) + MAX(0, (Z454-32333)*0.05) + MAX(0, (Z454-500000)*0.025) + MAX(0, (Z454-800000)*0.025) - AA454 - AB454))</f>
      </c>
      <c r="AD454" s="8">
        <f>IF(E454="","",AC454)</f>
      </c>
    </row>
    <row r="455" spans="1:30" x14ac:dyDescent="0.25">
      <c r="A455" s="6"/>
      <c r="B455" s="6"/>
      <c r="C455" s="6"/>
      <c r="F455" s="6"/>
      <c r="G455" s="6"/>
      <c r="L455" s="7"/>
      <c r="M455" s="7"/>
      <c r="N455" s="7"/>
      <c r="O455" s="7"/>
      <c r="P455" s="7"/>
      <c r="Q455" s="7"/>
      <c r="R455" s="7"/>
      <c r="S455" s="8">
        <f>IF(E455="","",SUM(L455:O455) + Q455 + R455)</f>
      </c>
      <c r="T455" s="8">
        <f>IF(E455="","",S455*0.0275)</f>
      </c>
      <c r="U455" s="8">
        <f>IF(E455="","",IF(S455&gt;0, MIN(S455*0.06, 6480), 0))</f>
      </c>
      <c r="V455" s="7"/>
      <c r="W455" s="7"/>
      <c r="X455" s="7"/>
      <c r="Y455" s="8">
        <f>IF(E455="","",S455*0.015)</f>
      </c>
      <c r="Z455" s="8">
        <f>IF(E455="","",MAX(0, S455 - T455 - U455 - V455 - W455 - X455 - Y455 - IF(J455="Yes", 150000, 0)))</f>
      </c>
      <c r="AA455" s="8">
        <f>IF(E455="","",IF(OR(L455&gt;0, E455&lt;&gt;""), 2400, 0))</f>
      </c>
      <c r="AB455" s="7"/>
      <c r="AC455" s="8">
        <f>IF(E455="","",MAX(0, MAX(0, Z455*0.1) + MAX(0, (Z455-24000)*0.15) + MAX(0, (Z455-32333)*0.05) + MAX(0, (Z455-500000)*0.025) + MAX(0, (Z455-800000)*0.025) - AA455 - AB455))</f>
      </c>
      <c r="AD455" s="8">
        <f>IF(E455="","",AC455)</f>
      </c>
    </row>
    <row r="456" spans="1:30" x14ac:dyDescent="0.25">
      <c r="A456" s="6"/>
      <c r="B456" s="6"/>
      <c r="C456" s="6"/>
      <c r="F456" s="6"/>
      <c r="G456" s="6"/>
      <c r="L456" s="7"/>
      <c r="M456" s="7"/>
      <c r="N456" s="7"/>
      <c r="O456" s="7"/>
      <c r="P456" s="7"/>
      <c r="Q456" s="7"/>
      <c r="R456" s="7"/>
      <c r="S456" s="8">
        <f>IF(E456="","",SUM(L456:O456) + Q456 + R456)</f>
      </c>
      <c r="T456" s="8">
        <f>IF(E456="","",S456*0.0275)</f>
      </c>
      <c r="U456" s="8">
        <f>IF(E456="","",IF(S456&gt;0, MIN(S456*0.06, 6480), 0))</f>
      </c>
      <c r="V456" s="7"/>
      <c r="W456" s="7"/>
      <c r="X456" s="7"/>
      <c r="Y456" s="8">
        <f>IF(E456="","",S456*0.015)</f>
      </c>
      <c r="Z456" s="8">
        <f>IF(E456="","",MAX(0, S456 - T456 - U456 - V456 - W456 - X456 - Y456 - IF(J456="Yes", 150000, 0)))</f>
      </c>
      <c r="AA456" s="8">
        <f>IF(E456="","",IF(OR(L456&gt;0, E456&lt;&gt;""), 2400, 0))</f>
      </c>
      <c r="AB456" s="7"/>
      <c r="AC456" s="8">
        <f>IF(E456="","",MAX(0, MAX(0, Z456*0.1) + MAX(0, (Z456-24000)*0.15) + MAX(0, (Z456-32333)*0.05) + MAX(0, (Z456-500000)*0.025) + MAX(0, (Z456-800000)*0.025) - AA456 - AB456))</f>
      </c>
      <c r="AD456" s="8">
        <f>IF(E456="","",AC456)</f>
      </c>
    </row>
    <row r="457" spans="1:30" x14ac:dyDescent="0.25">
      <c r="A457" s="6"/>
      <c r="B457" s="6"/>
      <c r="C457" s="6"/>
      <c r="F457" s="6"/>
      <c r="G457" s="6"/>
      <c r="L457" s="7"/>
      <c r="M457" s="7"/>
      <c r="N457" s="7"/>
      <c r="O457" s="7"/>
      <c r="P457" s="7"/>
      <c r="Q457" s="7"/>
      <c r="R457" s="7"/>
      <c r="S457" s="8">
        <f>IF(E457="","",SUM(L457:O457) + Q457 + R457)</f>
      </c>
      <c r="T457" s="8">
        <f>IF(E457="","",S457*0.0275)</f>
      </c>
      <c r="U457" s="8">
        <f>IF(E457="","",IF(S457&gt;0, MIN(S457*0.06, 6480), 0))</f>
      </c>
      <c r="V457" s="7"/>
      <c r="W457" s="7"/>
      <c r="X457" s="7"/>
      <c r="Y457" s="8">
        <f>IF(E457="","",S457*0.015)</f>
      </c>
      <c r="Z457" s="8">
        <f>IF(E457="","",MAX(0, S457 - T457 - U457 - V457 - W457 - X457 - Y457 - IF(J457="Yes", 150000, 0)))</f>
      </c>
      <c r="AA457" s="8">
        <f>IF(E457="","",IF(OR(L457&gt;0, E457&lt;&gt;""), 2400, 0))</f>
      </c>
      <c r="AB457" s="7"/>
      <c r="AC457" s="8">
        <f>IF(E457="","",MAX(0, MAX(0, Z457*0.1) + MAX(0, (Z457-24000)*0.15) + MAX(0, (Z457-32333)*0.05) + MAX(0, (Z457-500000)*0.025) + MAX(0, (Z457-800000)*0.025) - AA457 - AB457))</f>
      </c>
      <c r="AD457" s="8">
        <f>IF(E457="","",AC457)</f>
      </c>
    </row>
    <row r="458" spans="1:30" x14ac:dyDescent="0.25">
      <c r="A458" s="6"/>
      <c r="B458" s="6"/>
      <c r="C458" s="6"/>
      <c r="F458" s="6"/>
      <c r="G458" s="6"/>
      <c r="L458" s="7"/>
      <c r="M458" s="7"/>
      <c r="N458" s="7"/>
      <c r="O458" s="7"/>
      <c r="P458" s="7"/>
      <c r="Q458" s="7"/>
      <c r="R458" s="7"/>
      <c r="S458" s="8">
        <f>IF(E458="","",SUM(L458:O458) + Q458 + R458)</f>
      </c>
      <c r="T458" s="8">
        <f>IF(E458="","",S458*0.0275)</f>
      </c>
      <c r="U458" s="8">
        <f>IF(E458="","",IF(S458&gt;0, MIN(S458*0.06, 6480), 0))</f>
      </c>
      <c r="V458" s="7"/>
      <c r="W458" s="7"/>
      <c r="X458" s="7"/>
      <c r="Y458" s="8">
        <f>IF(E458="","",S458*0.015)</f>
      </c>
      <c r="Z458" s="8">
        <f>IF(E458="","",MAX(0, S458 - T458 - U458 - V458 - W458 - X458 - Y458 - IF(J458="Yes", 150000, 0)))</f>
      </c>
      <c r="AA458" s="8">
        <f>IF(E458="","",IF(OR(L458&gt;0, E458&lt;&gt;""), 2400, 0))</f>
      </c>
      <c r="AB458" s="7"/>
      <c r="AC458" s="8">
        <f>IF(E458="","",MAX(0, MAX(0, Z458*0.1) + MAX(0, (Z458-24000)*0.15) + MAX(0, (Z458-32333)*0.05) + MAX(0, (Z458-500000)*0.025) + MAX(0, (Z458-800000)*0.025) - AA458 - AB458))</f>
      </c>
      <c r="AD458" s="8">
        <f>IF(E458="","",AC458)</f>
      </c>
    </row>
    <row r="459" spans="1:30" x14ac:dyDescent="0.25">
      <c r="A459" s="6"/>
      <c r="B459" s="6"/>
      <c r="C459" s="6"/>
      <c r="F459" s="6"/>
      <c r="G459" s="6"/>
      <c r="L459" s="7"/>
      <c r="M459" s="7"/>
      <c r="N459" s="7"/>
      <c r="O459" s="7"/>
      <c r="P459" s="7"/>
      <c r="Q459" s="7"/>
      <c r="R459" s="7"/>
      <c r="S459" s="8">
        <f>IF(E459="","",SUM(L459:O459) + Q459 + R459)</f>
      </c>
      <c r="T459" s="8">
        <f>IF(E459="","",S459*0.0275)</f>
      </c>
      <c r="U459" s="8">
        <f>IF(E459="","",IF(S459&gt;0, MIN(S459*0.06, 6480), 0))</f>
      </c>
      <c r="V459" s="7"/>
      <c r="W459" s="7"/>
      <c r="X459" s="7"/>
      <c r="Y459" s="8">
        <f>IF(E459="","",S459*0.015)</f>
      </c>
      <c r="Z459" s="8">
        <f>IF(E459="","",MAX(0, S459 - T459 - U459 - V459 - W459 - X459 - Y459 - IF(J459="Yes", 150000, 0)))</f>
      </c>
      <c r="AA459" s="8">
        <f>IF(E459="","",IF(OR(L459&gt;0, E459&lt;&gt;""), 2400, 0))</f>
      </c>
      <c r="AB459" s="7"/>
      <c r="AC459" s="8">
        <f>IF(E459="","",MAX(0, MAX(0, Z459*0.1) + MAX(0, (Z459-24000)*0.15) + MAX(0, (Z459-32333)*0.05) + MAX(0, (Z459-500000)*0.025) + MAX(0, (Z459-800000)*0.025) - AA459 - AB459))</f>
      </c>
      <c r="AD459" s="8">
        <f>IF(E459="","",AC459)</f>
      </c>
    </row>
    <row r="460" spans="1:30" x14ac:dyDescent="0.25">
      <c r="A460" s="6"/>
      <c r="B460" s="6"/>
      <c r="C460" s="6"/>
      <c r="F460" s="6"/>
      <c r="G460" s="6"/>
      <c r="L460" s="7"/>
      <c r="M460" s="7"/>
      <c r="N460" s="7"/>
      <c r="O460" s="7"/>
      <c r="P460" s="7"/>
      <c r="Q460" s="7"/>
      <c r="R460" s="7"/>
      <c r="S460" s="8">
        <f>IF(E460="","",SUM(L460:O460) + Q460 + R460)</f>
      </c>
      <c r="T460" s="8">
        <f>IF(E460="","",S460*0.0275)</f>
      </c>
      <c r="U460" s="8">
        <f>IF(E460="","",IF(S460&gt;0, MIN(S460*0.06, 6480), 0))</f>
      </c>
      <c r="V460" s="7"/>
      <c r="W460" s="7"/>
      <c r="X460" s="7"/>
      <c r="Y460" s="8">
        <f>IF(E460="","",S460*0.015)</f>
      </c>
      <c r="Z460" s="8">
        <f>IF(E460="","",MAX(0, S460 - T460 - U460 - V460 - W460 - X460 - Y460 - IF(J460="Yes", 150000, 0)))</f>
      </c>
      <c r="AA460" s="8">
        <f>IF(E460="","",IF(OR(L460&gt;0, E460&lt;&gt;""), 2400, 0))</f>
      </c>
      <c r="AB460" s="7"/>
      <c r="AC460" s="8">
        <f>IF(E460="","",MAX(0, MAX(0, Z460*0.1) + MAX(0, (Z460-24000)*0.15) + MAX(0, (Z460-32333)*0.05) + MAX(0, (Z460-500000)*0.025) + MAX(0, (Z460-800000)*0.025) - AA460 - AB460))</f>
      </c>
      <c r="AD460" s="8">
        <f>IF(E460="","",AC460)</f>
      </c>
    </row>
    <row r="461" spans="1:30" x14ac:dyDescent="0.25">
      <c r="A461" s="6"/>
      <c r="B461" s="6"/>
      <c r="C461" s="6"/>
      <c r="F461" s="6"/>
      <c r="G461" s="6"/>
      <c r="L461" s="7"/>
      <c r="M461" s="7"/>
      <c r="N461" s="7"/>
      <c r="O461" s="7"/>
      <c r="P461" s="7"/>
      <c r="Q461" s="7"/>
      <c r="R461" s="7"/>
      <c r="S461" s="8">
        <f>IF(E461="","",SUM(L461:O461) + Q461 + R461)</f>
      </c>
      <c r="T461" s="8">
        <f>IF(E461="","",S461*0.0275)</f>
      </c>
      <c r="U461" s="8">
        <f>IF(E461="","",IF(S461&gt;0, MIN(S461*0.06, 6480), 0))</f>
      </c>
      <c r="V461" s="7"/>
      <c r="W461" s="7"/>
      <c r="X461" s="7"/>
      <c r="Y461" s="8">
        <f>IF(E461="","",S461*0.015)</f>
      </c>
      <c r="Z461" s="8">
        <f>IF(E461="","",MAX(0, S461 - T461 - U461 - V461 - W461 - X461 - Y461 - IF(J461="Yes", 150000, 0)))</f>
      </c>
      <c r="AA461" s="8">
        <f>IF(E461="","",IF(OR(L461&gt;0, E461&lt;&gt;""), 2400, 0))</f>
      </c>
      <c r="AB461" s="7"/>
      <c r="AC461" s="8">
        <f>IF(E461="","",MAX(0, MAX(0, Z461*0.1) + MAX(0, (Z461-24000)*0.15) + MAX(0, (Z461-32333)*0.05) + MAX(0, (Z461-500000)*0.025) + MAX(0, (Z461-800000)*0.025) - AA461 - AB461))</f>
      </c>
      <c r="AD461" s="8">
        <f>IF(E461="","",AC461)</f>
      </c>
    </row>
    <row r="462" spans="1:30" x14ac:dyDescent="0.25">
      <c r="A462" s="6"/>
      <c r="B462" s="6"/>
      <c r="C462" s="6"/>
      <c r="F462" s="6"/>
      <c r="G462" s="6"/>
      <c r="L462" s="7"/>
      <c r="M462" s="7"/>
      <c r="N462" s="7"/>
      <c r="O462" s="7"/>
      <c r="P462" s="7"/>
      <c r="Q462" s="7"/>
      <c r="R462" s="7"/>
      <c r="S462" s="8">
        <f>IF(E462="","",SUM(L462:O462) + Q462 + R462)</f>
      </c>
      <c r="T462" s="8">
        <f>IF(E462="","",S462*0.0275)</f>
      </c>
      <c r="U462" s="8">
        <f>IF(E462="","",IF(S462&gt;0, MIN(S462*0.06, 6480), 0))</f>
      </c>
      <c r="V462" s="7"/>
      <c r="W462" s="7"/>
      <c r="X462" s="7"/>
      <c r="Y462" s="8">
        <f>IF(E462="","",S462*0.015)</f>
      </c>
      <c r="Z462" s="8">
        <f>IF(E462="","",MAX(0, S462 - T462 - U462 - V462 - W462 - X462 - Y462 - IF(J462="Yes", 150000, 0)))</f>
      </c>
      <c r="AA462" s="8">
        <f>IF(E462="","",IF(OR(L462&gt;0, E462&lt;&gt;""), 2400, 0))</f>
      </c>
      <c r="AB462" s="7"/>
      <c r="AC462" s="8">
        <f>IF(E462="","",MAX(0, MAX(0, Z462*0.1) + MAX(0, (Z462-24000)*0.15) + MAX(0, (Z462-32333)*0.05) + MAX(0, (Z462-500000)*0.025) + MAX(0, (Z462-800000)*0.025) - AA462 - AB462))</f>
      </c>
      <c r="AD462" s="8">
        <f>IF(E462="","",AC462)</f>
      </c>
    </row>
    <row r="463" spans="1:30" x14ac:dyDescent="0.25">
      <c r="A463" s="6"/>
      <c r="B463" s="6"/>
      <c r="C463" s="6"/>
      <c r="F463" s="6"/>
      <c r="G463" s="6"/>
      <c r="L463" s="7"/>
      <c r="M463" s="7"/>
      <c r="N463" s="7"/>
      <c r="O463" s="7"/>
      <c r="P463" s="7"/>
      <c r="Q463" s="7"/>
      <c r="R463" s="7"/>
      <c r="S463" s="8">
        <f>IF(E463="","",SUM(L463:O463) + Q463 + R463)</f>
      </c>
      <c r="T463" s="8">
        <f>IF(E463="","",S463*0.0275)</f>
      </c>
      <c r="U463" s="8">
        <f>IF(E463="","",IF(S463&gt;0, MIN(S463*0.06, 6480), 0))</f>
      </c>
      <c r="V463" s="7"/>
      <c r="W463" s="7"/>
      <c r="X463" s="7"/>
      <c r="Y463" s="8">
        <f>IF(E463="","",S463*0.015)</f>
      </c>
      <c r="Z463" s="8">
        <f>IF(E463="","",MAX(0, S463 - T463 - U463 - V463 - W463 - X463 - Y463 - IF(J463="Yes", 150000, 0)))</f>
      </c>
      <c r="AA463" s="8">
        <f>IF(E463="","",IF(OR(L463&gt;0, E463&lt;&gt;""), 2400, 0))</f>
      </c>
      <c r="AB463" s="7"/>
      <c r="AC463" s="8">
        <f>IF(E463="","",MAX(0, MAX(0, Z463*0.1) + MAX(0, (Z463-24000)*0.15) + MAX(0, (Z463-32333)*0.05) + MAX(0, (Z463-500000)*0.025) + MAX(0, (Z463-800000)*0.025) - AA463 - AB463))</f>
      </c>
      <c r="AD463" s="8">
        <f>IF(E463="","",AC463)</f>
      </c>
    </row>
    <row r="464" spans="1:30" x14ac:dyDescent="0.25">
      <c r="A464" s="6"/>
      <c r="B464" s="6"/>
      <c r="C464" s="6"/>
      <c r="F464" s="6"/>
      <c r="G464" s="6"/>
      <c r="L464" s="7"/>
      <c r="M464" s="7"/>
      <c r="N464" s="7"/>
      <c r="O464" s="7"/>
      <c r="P464" s="7"/>
      <c r="Q464" s="7"/>
      <c r="R464" s="7"/>
      <c r="S464" s="8">
        <f>IF(E464="","",SUM(L464:O464) + Q464 + R464)</f>
      </c>
      <c r="T464" s="8">
        <f>IF(E464="","",S464*0.0275)</f>
      </c>
      <c r="U464" s="8">
        <f>IF(E464="","",IF(S464&gt;0, MIN(S464*0.06, 6480), 0))</f>
      </c>
      <c r="V464" s="7"/>
      <c r="W464" s="7"/>
      <c r="X464" s="7"/>
      <c r="Y464" s="8">
        <f>IF(E464="","",S464*0.015)</f>
      </c>
      <c r="Z464" s="8">
        <f>IF(E464="","",MAX(0, S464 - T464 - U464 - V464 - W464 - X464 - Y464 - IF(J464="Yes", 150000, 0)))</f>
      </c>
      <c r="AA464" s="8">
        <f>IF(E464="","",IF(OR(L464&gt;0, E464&lt;&gt;""), 2400, 0))</f>
      </c>
      <c r="AB464" s="7"/>
      <c r="AC464" s="8">
        <f>IF(E464="","",MAX(0, MAX(0, Z464*0.1) + MAX(0, (Z464-24000)*0.15) + MAX(0, (Z464-32333)*0.05) + MAX(0, (Z464-500000)*0.025) + MAX(0, (Z464-800000)*0.025) - AA464 - AB464))</f>
      </c>
      <c r="AD464" s="8">
        <f>IF(E464="","",AC464)</f>
      </c>
    </row>
    <row r="465" spans="1:30" x14ac:dyDescent="0.25">
      <c r="A465" s="6"/>
      <c r="B465" s="6"/>
      <c r="C465" s="6"/>
      <c r="F465" s="6"/>
      <c r="G465" s="6"/>
      <c r="L465" s="7"/>
      <c r="M465" s="7"/>
      <c r="N465" s="7"/>
      <c r="O465" s="7"/>
      <c r="P465" s="7"/>
      <c r="Q465" s="7"/>
      <c r="R465" s="7"/>
      <c r="S465" s="8">
        <f>IF(E465="","",SUM(L465:O465) + Q465 + R465)</f>
      </c>
      <c r="T465" s="8">
        <f>IF(E465="","",S465*0.0275)</f>
      </c>
      <c r="U465" s="8">
        <f>IF(E465="","",IF(S465&gt;0, MIN(S465*0.06, 6480), 0))</f>
      </c>
      <c r="V465" s="7"/>
      <c r="W465" s="7"/>
      <c r="X465" s="7"/>
      <c r="Y465" s="8">
        <f>IF(E465="","",S465*0.015)</f>
      </c>
      <c r="Z465" s="8">
        <f>IF(E465="","",MAX(0, S465 - T465 - U465 - V465 - W465 - X465 - Y465 - IF(J465="Yes", 150000, 0)))</f>
      </c>
      <c r="AA465" s="8">
        <f>IF(E465="","",IF(OR(L465&gt;0, E465&lt;&gt;""), 2400, 0))</f>
      </c>
      <c r="AB465" s="7"/>
      <c r="AC465" s="8">
        <f>IF(E465="","",MAX(0, MAX(0, Z465*0.1) + MAX(0, (Z465-24000)*0.15) + MAX(0, (Z465-32333)*0.05) + MAX(0, (Z465-500000)*0.025) + MAX(0, (Z465-800000)*0.025) - AA465 - AB465))</f>
      </c>
      <c r="AD465" s="8">
        <f>IF(E465="","",AC465)</f>
      </c>
    </row>
    <row r="466" spans="1:30" x14ac:dyDescent="0.25">
      <c r="A466" s="6"/>
      <c r="B466" s="6"/>
      <c r="C466" s="6"/>
      <c r="F466" s="6"/>
      <c r="G466" s="6"/>
      <c r="L466" s="7"/>
      <c r="M466" s="7"/>
      <c r="N466" s="7"/>
      <c r="O466" s="7"/>
      <c r="P466" s="7"/>
      <c r="Q466" s="7"/>
      <c r="R466" s="7"/>
      <c r="S466" s="8">
        <f>IF(E466="","",SUM(L466:O466) + Q466 + R466)</f>
      </c>
      <c r="T466" s="8">
        <f>IF(E466="","",S466*0.0275)</f>
      </c>
      <c r="U466" s="8">
        <f>IF(E466="","",IF(S466&gt;0, MIN(S466*0.06, 6480), 0))</f>
      </c>
      <c r="V466" s="7"/>
      <c r="W466" s="7"/>
      <c r="X466" s="7"/>
      <c r="Y466" s="8">
        <f>IF(E466="","",S466*0.015)</f>
      </c>
      <c r="Z466" s="8">
        <f>IF(E466="","",MAX(0, S466 - T466 - U466 - V466 - W466 - X466 - Y466 - IF(J466="Yes", 150000, 0)))</f>
      </c>
      <c r="AA466" s="8">
        <f>IF(E466="","",IF(OR(L466&gt;0, E466&lt;&gt;""), 2400, 0))</f>
      </c>
      <c r="AB466" s="7"/>
      <c r="AC466" s="8">
        <f>IF(E466="","",MAX(0, MAX(0, Z466*0.1) + MAX(0, (Z466-24000)*0.15) + MAX(0, (Z466-32333)*0.05) + MAX(0, (Z466-500000)*0.025) + MAX(0, (Z466-800000)*0.025) - AA466 - AB466))</f>
      </c>
      <c r="AD466" s="8">
        <f>IF(E466="","",AC466)</f>
      </c>
    </row>
    <row r="467" spans="1:30" x14ac:dyDescent="0.25">
      <c r="A467" s="6"/>
      <c r="B467" s="6"/>
      <c r="C467" s="6"/>
      <c r="F467" s="6"/>
      <c r="G467" s="6"/>
      <c r="L467" s="7"/>
      <c r="M467" s="7"/>
      <c r="N467" s="7"/>
      <c r="O467" s="7"/>
      <c r="P467" s="7"/>
      <c r="Q467" s="7"/>
      <c r="R467" s="7"/>
      <c r="S467" s="8">
        <f>IF(E467="","",SUM(L467:O467) + Q467 + R467)</f>
      </c>
      <c r="T467" s="8">
        <f>IF(E467="","",S467*0.0275)</f>
      </c>
      <c r="U467" s="8">
        <f>IF(E467="","",IF(S467&gt;0, MIN(S467*0.06, 6480), 0))</f>
      </c>
      <c r="V467" s="7"/>
      <c r="W467" s="7"/>
      <c r="X467" s="7"/>
      <c r="Y467" s="8">
        <f>IF(E467="","",S467*0.015)</f>
      </c>
      <c r="Z467" s="8">
        <f>IF(E467="","",MAX(0, S467 - T467 - U467 - V467 - W467 - X467 - Y467 - IF(J467="Yes", 150000, 0)))</f>
      </c>
      <c r="AA467" s="8">
        <f>IF(E467="","",IF(OR(L467&gt;0, E467&lt;&gt;""), 2400, 0))</f>
      </c>
      <c r="AB467" s="7"/>
      <c r="AC467" s="8">
        <f>IF(E467="","",MAX(0, MAX(0, Z467*0.1) + MAX(0, (Z467-24000)*0.15) + MAX(0, (Z467-32333)*0.05) + MAX(0, (Z467-500000)*0.025) + MAX(0, (Z467-800000)*0.025) - AA467 - AB467))</f>
      </c>
      <c r="AD467" s="8">
        <f>IF(E467="","",AC467)</f>
      </c>
    </row>
    <row r="468" spans="1:30" x14ac:dyDescent="0.25">
      <c r="A468" s="6"/>
      <c r="B468" s="6"/>
      <c r="C468" s="6"/>
      <c r="F468" s="6"/>
      <c r="G468" s="6"/>
      <c r="L468" s="7"/>
      <c r="M468" s="7"/>
      <c r="N468" s="7"/>
      <c r="O468" s="7"/>
      <c r="P468" s="7"/>
      <c r="Q468" s="7"/>
      <c r="R468" s="7"/>
      <c r="S468" s="8">
        <f>IF(E468="","",SUM(L468:O468) + Q468 + R468)</f>
      </c>
      <c r="T468" s="8">
        <f>IF(E468="","",S468*0.0275)</f>
      </c>
      <c r="U468" s="8">
        <f>IF(E468="","",IF(S468&gt;0, MIN(S468*0.06, 6480), 0))</f>
      </c>
      <c r="V468" s="7"/>
      <c r="W468" s="7"/>
      <c r="X468" s="7"/>
      <c r="Y468" s="8">
        <f>IF(E468="","",S468*0.015)</f>
      </c>
      <c r="Z468" s="8">
        <f>IF(E468="","",MAX(0, S468 - T468 - U468 - V468 - W468 - X468 - Y468 - IF(J468="Yes", 150000, 0)))</f>
      </c>
      <c r="AA468" s="8">
        <f>IF(E468="","",IF(OR(L468&gt;0, E468&lt;&gt;""), 2400, 0))</f>
      </c>
      <c r="AB468" s="7"/>
      <c r="AC468" s="8">
        <f>IF(E468="","",MAX(0, MAX(0, Z468*0.1) + MAX(0, (Z468-24000)*0.15) + MAX(0, (Z468-32333)*0.05) + MAX(0, (Z468-500000)*0.025) + MAX(0, (Z468-800000)*0.025) - AA468 - AB468))</f>
      </c>
      <c r="AD468" s="8">
        <f>IF(E468="","",AC468)</f>
      </c>
    </row>
    <row r="469" spans="1:30" x14ac:dyDescent="0.25">
      <c r="A469" s="6"/>
      <c r="B469" s="6"/>
      <c r="C469" s="6"/>
      <c r="F469" s="6"/>
      <c r="G469" s="6"/>
      <c r="L469" s="7"/>
      <c r="M469" s="7"/>
      <c r="N469" s="7"/>
      <c r="O469" s="7"/>
      <c r="P469" s="7"/>
      <c r="Q469" s="7"/>
      <c r="R469" s="7"/>
      <c r="S469" s="8">
        <f>IF(E469="","",SUM(L469:O469) + Q469 + R469)</f>
      </c>
      <c r="T469" s="8">
        <f>IF(E469="","",S469*0.0275)</f>
      </c>
      <c r="U469" s="8">
        <f>IF(E469="","",IF(S469&gt;0, MIN(S469*0.06, 6480), 0))</f>
      </c>
      <c r="V469" s="7"/>
      <c r="W469" s="7"/>
      <c r="X469" s="7"/>
      <c r="Y469" s="8">
        <f>IF(E469="","",S469*0.015)</f>
      </c>
      <c r="Z469" s="8">
        <f>IF(E469="","",MAX(0, S469 - T469 - U469 - V469 - W469 - X469 - Y469 - IF(J469="Yes", 150000, 0)))</f>
      </c>
      <c r="AA469" s="8">
        <f>IF(E469="","",IF(OR(L469&gt;0, E469&lt;&gt;""), 2400, 0))</f>
      </c>
      <c r="AB469" s="7"/>
      <c r="AC469" s="8">
        <f>IF(E469="","",MAX(0, MAX(0, Z469*0.1) + MAX(0, (Z469-24000)*0.15) + MAX(0, (Z469-32333)*0.05) + MAX(0, (Z469-500000)*0.025) + MAX(0, (Z469-800000)*0.025) - AA469 - AB469))</f>
      </c>
      <c r="AD469" s="8">
        <f>IF(E469="","",AC469)</f>
      </c>
    </row>
    <row r="470" spans="1:30" x14ac:dyDescent="0.25">
      <c r="A470" s="6"/>
      <c r="B470" s="6"/>
      <c r="C470" s="6"/>
      <c r="F470" s="6"/>
      <c r="G470" s="6"/>
      <c r="L470" s="7"/>
      <c r="M470" s="7"/>
      <c r="N470" s="7"/>
      <c r="O470" s="7"/>
      <c r="P470" s="7"/>
      <c r="Q470" s="7"/>
      <c r="R470" s="7"/>
      <c r="S470" s="8">
        <f>IF(E470="","",SUM(L470:O470) + Q470 + R470)</f>
      </c>
      <c r="T470" s="8">
        <f>IF(E470="","",S470*0.0275)</f>
      </c>
      <c r="U470" s="8">
        <f>IF(E470="","",IF(S470&gt;0, MIN(S470*0.06, 6480), 0))</f>
      </c>
      <c r="V470" s="7"/>
      <c r="W470" s="7"/>
      <c r="X470" s="7"/>
      <c r="Y470" s="8">
        <f>IF(E470="","",S470*0.015)</f>
      </c>
      <c r="Z470" s="8">
        <f>IF(E470="","",MAX(0, S470 - T470 - U470 - V470 - W470 - X470 - Y470 - IF(J470="Yes", 150000, 0)))</f>
      </c>
      <c r="AA470" s="8">
        <f>IF(E470="","",IF(OR(L470&gt;0, E470&lt;&gt;""), 2400, 0))</f>
      </c>
      <c r="AB470" s="7"/>
      <c r="AC470" s="8">
        <f>IF(E470="","",MAX(0, MAX(0, Z470*0.1) + MAX(0, (Z470-24000)*0.15) + MAX(0, (Z470-32333)*0.05) + MAX(0, (Z470-500000)*0.025) + MAX(0, (Z470-800000)*0.025) - AA470 - AB470))</f>
      </c>
      <c r="AD470" s="8">
        <f>IF(E470="","",AC470)</f>
      </c>
    </row>
    <row r="471" spans="1:30" x14ac:dyDescent="0.25">
      <c r="A471" s="6"/>
      <c r="B471" s="6"/>
      <c r="C471" s="6"/>
      <c r="F471" s="6"/>
      <c r="G471" s="6"/>
      <c r="L471" s="7"/>
      <c r="M471" s="7"/>
      <c r="N471" s="7"/>
      <c r="O471" s="7"/>
      <c r="P471" s="7"/>
      <c r="Q471" s="7"/>
      <c r="R471" s="7"/>
      <c r="S471" s="8">
        <f>IF(E471="","",SUM(L471:O471) + Q471 + R471)</f>
      </c>
      <c r="T471" s="8">
        <f>IF(E471="","",S471*0.0275)</f>
      </c>
      <c r="U471" s="8">
        <f>IF(E471="","",IF(S471&gt;0, MIN(S471*0.06, 6480), 0))</f>
      </c>
      <c r="V471" s="7"/>
      <c r="W471" s="7"/>
      <c r="X471" s="7"/>
      <c r="Y471" s="8">
        <f>IF(E471="","",S471*0.015)</f>
      </c>
      <c r="Z471" s="8">
        <f>IF(E471="","",MAX(0, S471 - T471 - U471 - V471 - W471 - X471 - Y471 - IF(J471="Yes", 150000, 0)))</f>
      </c>
      <c r="AA471" s="8">
        <f>IF(E471="","",IF(OR(L471&gt;0, E471&lt;&gt;""), 2400, 0))</f>
      </c>
      <c r="AB471" s="7"/>
      <c r="AC471" s="8">
        <f>IF(E471="","",MAX(0, MAX(0, Z471*0.1) + MAX(0, (Z471-24000)*0.15) + MAX(0, (Z471-32333)*0.05) + MAX(0, (Z471-500000)*0.025) + MAX(0, (Z471-800000)*0.025) - AA471 - AB471))</f>
      </c>
      <c r="AD471" s="8">
        <f>IF(E471="","",AC471)</f>
      </c>
    </row>
    <row r="472" spans="1:30" x14ac:dyDescent="0.25">
      <c r="A472" s="6"/>
      <c r="B472" s="6"/>
      <c r="C472" s="6"/>
      <c r="F472" s="6"/>
      <c r="G472" s="6"/>
      <c r="L472" s="7"/>
      <c r="M472" s="7"/>
      <c r="N472" s="7"/>
      <c r="O472" s="7"/>
      <c r="P472" s="7"/>
      <c r="Q472" s="7"/>
      <c r="R472" s="7"/>
      <c r="S472" s="8">
        <f>IF(E472="","",SUM(L472:O472) + Q472 + R472)</f>
      </c>
      <c r="T472" s="8">
        <f>IF(E472="","",S472*0.0275)</f>
      </c>
      <c r="U472" s="8">
        <f>IF(E472="","",IF(S472&gt;0, MIN(S472*0.06, 6480), 0))</f>
      </c>
      <c r="V472" s="7"/>
      <c r="W472" s="7"/>
      <c r="X472" s="7"/>
      <c r="Y472" s="8">
        <f>IF(E472="","",S472*0.015)</f>
      </c>
      <c r="Z472" s="8">
        <f>IF(E472="","",MAX(0, S472 - T472 - U472 - V472 - W472 - X472 - Y472 - IF(J472="Yes", 150000, 0)))</f>
      </c>
      <c r="AA472" s="8">
        <f>IF(E472="","",IF(OR(L472&gt;0, E472&lt;&gt;""), 2400, 0))</f>
      </c>
      <c r="AB472" s="7"/>
      <c r="AC472" s="8">
        <f>IF(E472="","",MAX(0, MAX(0, Z472*0.1) + MAX(0, (Z472-24000)*0.15) + MAX(0, (Z472-32333)*0.05) + MAX(0, (Z472-500000)*0.025) + MAX(0, (Z472-800000)*0.025) - AA472 - AB472))</f>
      </c>
      <c r="AD472" s="8">
        <f>IF(E472="","",AC472)</f>
      </c>
    </row>
    <row r="473" spans="1:30" x14ac:dyDescent="0.25">
      <c r="A473" s="6"/>
      <c r="B473" s="6"/>
      <c r="C473" s="6"/>
      <c r="F473" s="6"/>
      <c r="G473" s="6"/>
      <c r="L473" s="7"/>
      <c r="M473" s="7"/>
      <c r="N473" s="7"/>
      <c r="O473" s="7"/>
      <c r="P473" s="7"/>
      <c r="Q473" s="7"/>
      <c r="R473" s="7"/>
      <c r="S473" s="8">
        <f>IF(E473="","",SUM(L473:O473) + Q473 + R473)</f>
      </c>
      <c r="T473" s="8">
        <f>IF(E473="","",S473*0.0275)</f>
      </c>
      <c r="U473" s="8">
        <f>IF(E473="","",IF(S473&gt;0, MIN(S473*0.06, 6480), 0))</f>
      </c>
      <c r="V473" s="7"/>
      <c r="W473" s="7"/>
      <c r="X473" s="7"/>
      <c r="Y473" s="8">
        <f>IF(E473="","",S473*0.015)</f>
      </c>
      <c r="Z473" s="8">
        <f>IF(E473="","",MAX(0, S473 - T473 - U473 - V473 - W473 - X473 - Y473 - IF(J473="Yes", 150000, 0)))</f>
      </c>
      <c r="AA473" s="8">
        <f>IF(E473="","",IF(OR(L473&gt;0, E473&lt;&gt;""), 2400, 0))</f>
      </c>
      <c r="AB473" s="7"/>
      <c r="AC473" s="8">
        <f>IF(E473="","",MAX(0, MAX(0, Z473*0.1) + MAX(0, (Z473-24000)*0.15) + MAX(0, (Z473-32333)*0.05) + MAX(0, (Z473-500000)*0.025) + MAX(0, (Z473-800000)*0.025) - AA473 - AB473))</f>
      </c>
      <c r="AD473" s="8">
        <f>IF(E473="","",AC473)</f>
      </c>
    </row>
    <row r="474" spans="1:30" x14ac:dyDescent="0.25">
      <c r="A474" s="6"/>
      <c r="B474" s="6"/>
      <c r="C474" s="6"/>
      <c r="F474" s="6"/>
      <c r="G474" s="6"/>
      <c r="L474" s="7"/>
      <c r="M474" s="7"/>
      <c r="N474" s="7"/>
      <c r="O474" s="7"/>
      <c r="P474" s="7"/>
      <c r="Q474" s="7"/>
      <c r="R474" s="7"/>
      <c r="S474" s="8">
        <f>IF(E474="","",SUM(L474:O474) + Q474 + R474)</f>
      </c>
      <c r="T474" s="8">
        <f>IF(E474="","",S474*0.0275)</f>
      </c>
      <c r="U474" s="8">
        <f>IF(E474="","",IF(S474&gt;0, MIN(S474*0.06, 6480), 0))</f>
      </c>
      <c r="V474" s="7"/>
      <c r="W474" s="7"/>
      <c r="X474" s="7"/>
      <c r="Y474" s="8">
        <f>IF(E474="","",S474*0.015)</f>
      </c>
      <c r="Z474" s="8">
        <f>IF(E474="","",MAX(0, S474 - T474 - U474 - V474 - W474 - X474 - Y474 - IF(J474="Yes", 150000, 0)))</f>
      </c>
      <c r="AA474" s="8">
        <f>IF(E474="","",IF(OR(L474&gt;0, E474&lt;&gt;""), 2400, 0))</f>
      </c>
      <c r="AB474" s="7"/>
      <c r="AC474" s="8">
        <f>IF(E474="","",MAX(0, MAX(0, Z474*0.1) + MAX(0, (Z474-24000)*0.15) + MAX(0, (Z474-32333)*0.05) + MAX(0, (Z474-500000)*0.025) + MAX(0, (Z474-800000)*0.025) - AA474 - AB474))</f>
      </c>
      <c r="AD474" s="8">
        <f>IF(E474="","",AC474)</f>
      </c>
    </row>
    <row r="475" spans="1:30" x14ac:dyDescent="0.25">
      <c r="A475" s="6"/>
      <c r="B475" s="6"/>
      <c r="C475" s="6"/>
      <c r="F475" s="6"/>
      <c r="G475" s="6"/>
      <c r="L475" s="7"/>
      <c r="M475" s="7"/>
      <c r="N475" s="7"/>
      <c r="O475" s="7"/>
      <c r="P475" s="7"/>
      <c r="Q475" s="7"/>
      <c r="R475" s="7"/>
      <c r="S475" s="8">
        <f>IF(E475="","",SUM(L475:O475) + Q475 + R475)</f>
      </c>
      <c r="T475" s="8">
        <f>IF(E475="","",S475*0.0275)</f>
      </c>
      <c r="U475" s="8">
        <f>IF(E475="","",IF(S475&gt;0, MIN(S475*0.06, 6480), 0))</f>
      </c>
      <c r="V475" s="7"/>
      <c r="W475" s="7"/>
      <c r="X475" s="7"/>
      <c r="Y475" s="8">
        <f>IF(E475="","",S475*0.015)</f>
      </c>
      <c r="Z475" s="8">
        <f>IF(E475="","",MAX(0, S475 - T475 - U475 - V475 - W475 - X475 - Y475 - IF(J475="Yes", 150000, 0)))</f>
      </c>
      <c r="AA475" s="8">
        <f>IF(E475="","",IF(OR(L475&gt;0, E475&lt;&gt;""), 2400, 0))</f>
      </c>
      <c r="AB475" s="7"/>
      <c r="AC475" s="8">
        <f>IF(E475="","",MAX(0, MAX(0, Z475*0.1) + MAX(0, (Z475-24000)*0.15) + MAX(0, (Z475-32333)*0.05) + MAX(0, (Z475-500000)*0.025) + MAX(0, (Z475-800000)*0.025) - AA475 - AB475))</f>
      </c>
      <c r="AD475" s="8">
        <f>IF(E475="","",AC475)</f>
      </c>
    </row>
    <row r="476" spans="1:30" x14ac:dyDescent="0.25">
      <c r="A476" s="6"/>
      <c r="B476" s="6"/>
      <c r="C476" s="6"/>
      <c r="F476" s="6"/>
      <c r="G476" s="6"/>
      <c r="L476" s="7"/>
      <c r="M476" s="7"/>
      <c r="N476" s="7"/>
      <c r="O476" s="7"/>
      <c r="P476" s="7"/>
      <c r="Q476" s="7"/>
      <c r="R476" s="7"/>
      <c r="S476" s="8">
        <f>IF(E476="","",SUM(L476:O476) + Q476 + R476)</f>
      </c>
      <c r="T476" s="8">
        <f>IF(E476="","",S476*0.0275)</f>
      </c>
      <c r="U476" s="8">
        <f>IF(E476="","",IF(S476&gt;0, MIN(S476*0.06, 6480), 0))</f>
      </c>
      <c r="V476" s="7"/>
      <c r="W476" s="7"/>
      <c r="X476" s="7"/>
      <c r="Y476" s="8">
        <f>IF(E476="","",S476*0.015)</f>
      </c>
      <c r="Z476" s="8">
        <f>IF(E476="","",MAX(0, S476 - T476 - U476 - V476 - W476 - X476 - Y476 - IF(J476="Yes", 150000, 0)))</f>
      </c>
      <c r="AA476" s="8">
        <f>IF(E476="","",IF(OR(L476&gt;0, E476&lt;&gt;""), 2400, 0))</f>
      </c>
      <c r="AB476" s="7"/>
      <c r="AC476" s="8">
        <f>IF(E476="","",MAX(0, MAX(0, Z476*0.1) + MAX(0, (Z476-24000)*0.15) + MAX(0, (Z476-32333)*0.05) + MAX(0, (Z476-500000)*0.025) + MAX(0, (Z476-800000)*0.025) - AA476 - AB476))</f>
      </c>
      <c r="AD476" s="8">
        <f>IF(E476="","",AC476)</f>
      </c>
    </row>
    <row r="477" spans="1:30" x14ac:dyDescent="0.25">
      <c r="A477" s="6"/>
      <c r="B477" s="6"/>
      <c r="C477" s="6"/>
      <c r="F477" s="6"/>
      <c r="G477" s="6"/>
      <c r="L477" s="7"/>
      <c r="M477" s="7"/>
      <c r="N477" s="7"/>
      <c r="O477" s="7"/>
      <c r="P477" s="7"/>
      <c r="Q477" s="7"/>
      <c r="R477" s="7"/>
      <c r="S477" s="8">
        <f>IF(E477="","",SUM(L477:O477) + Q477 + R477)</f>
      </c>
      <c r="T477" s="8">
        <f>IF(E477="","",S477*0.0275)</f>
      </c>
      <c r="U477" s="8">
        <f>IF(E477="","",IF(S477&gt;0, MIN(S477*0.06, 6480), 0))</f>
      </c>
      <c r="V477" s="7"/>
      <c r="W477" s="7"/>
      <c r="X477" s="7"/>
      <c r="Y477" s="8">
        <f>IF(E477="","",S477*0.015)</f>
      </c>
      <c r="Z477" s="8">
        <f>IF(E477="","",MAX(0, S477 - T477 - U477 - V477 - W477 - X477 - Y477 - IF(J477="Yes", 150000, 0)))</f>
      </c>
      <c r="AA477" s="8">
        <f>IF(E477="","",IF(OR(L477&gt;0, E477&lt;&gt;""), 2400, 0))</f>
      </c>
      <c r="AB477" s="7"/>
      <c r="AC477" s="8">
        <f>IF(E477="","",MAX(0, MAX(0, Z477*0.1) + MAX(0, (Z477-24000)*0.15) + MAX(0, (Z477-32333)*0.05) + MAX(0, (Z477-500000)*0.025) + MAX(0, (Z477-800000)*0.025) - AA477 - AB477))</f>
      </c>
      <c r="AD477" s="8">
        <f>IF(E477="","",AC477)</f>
      </c>
    </row>
    <row r="478" spans="1:30" x14ac:dyDescent="0.25">
      <c r="A478" s="6"/>
      <c r="B478" s="6"/>
      <c r="C478" s="6"/>
      <c r="F478" s="6"/>
      <c r="G478" s="6"/>
      <c r="L478" s="7"/>
      <c r="M478" s="7"/>
      <c r="N478" s="7"/>
      <c r="O478" s="7"/>
      <c r="P478" s="7"/>
      <c r="Q478" s="7"/>
      <c r="R478" s="7"/>
      <c r="S478" s="8">
        <f>IF(E478="","",SUM(L478:O478) + Q478 + R478)</f>
      </c>
      <c r="T478" s="8">
        <f>IF(E478="","",S478*0.0275)</f>
      </c>
      <c r="U478" s="8">
        <f>IF(E478="","",IF(S478&gt;0, MIN(S478*0.06, 6480), 0))</f>
      </c>
      <c r="V478" s="7"/>
      <c r="W478" s="7"/>
      <c r="X478" s="7"/>
      <c r="Y478" s="8">
        <f>IF(E478="","",S478*0.015)</f>
      </c>
      <c r="Z478" s="8">
        <f>IF(E478="","",MAX(0, S478 - T478 - U478 - V478 - W478 - X478 - Y478 - IF(J478="Yes", 150000, 0)))</f>
      </c>
      <c r="AA478" s="8">
        <f>IF(E478="","",IF(OR(L478&gt;0, E478&lt;&gt;""), 2400, 0))</f>
      </c>
      <c r="AB478" s="7"/>
      <c r="AC478" s="8">
        <f>IF(E478="","",MAX(0, MAX(0, Z478*0.1) + MAX(0, (Z478-24000)*0.15) + MAX(0, (Z478-32333)*0.05) + MAX(0, (Z478-500000)*0.025) + MAX(0, (Z478-800000)*0.025) - AA478 - AB478))</f>
      </c>
      <c r="AD478" s="8">
        <f>IF(E478="","",AC478)</f>
      </c>
    </row>
    <row r="479" spans="1:30" x14ac:dyDescent="0.25">
      <c r="A479" s="6"/>
      <c r="B479" s="6"/>
      <c r="C479" s="6"/>
      <c r="F479" s="6"/>
      <c r="G479" s="6"/>
      <c r="L479" s="7"/>
      <c r="M479" s="7"/>
      <c r="N479" s="7"/>
      <c r="O479" s="7"/>
      <c r="P479" s="7"/>
      <c r="Q479" s="7"/>
      <c r="R479" s="7"/>
      <c r="S479" s="8">
        <f>IF(E479="","",SUM(L479:O479) + Q479 + R479)</f>
      </c>
      <c r="T479" s="8">
        <f>IF(E479="","",S479*0.0275)</f>
      </c>
      <c r="U479" s="8">
        <f>IF(E479="","",IF(S479&gt;0, MIN(S479*0.06, 6480), 0))</f>
      </c>
      <c r="V479" s="7"/>
      <c r="W479" s="7"/>
      <c r="X479" s="7"/>
      <c r="Y479" s="8">
        <f>IF(E479="","",S479*0.015)</f>
      </c>
      <c r="Z479" s="8">
        <f>IF(E479="","",MAX(0, S479 - T479 - U479 - V479 - W479 - X479 - Y479 - IF(J479="Yes", 150000, 0)))</f>
      </c>
      <c r="AA479" s="8">
        <f>IF(E479="","",IF(OR(L479&gt;0, E479&lt;&gt;""), 2400, 0))</f>
      </c>
      <c r="AB479" s="7"/>
      <c r="AC479" s="8">
        <f>IF(E479="","",MAX(0, MAX(0, Z479*0.1) + MAX(0, (Z479-24000)*0.15) + MAX(0, (Z479-32333)*0.05) + MAX(0, (Z479-500000)*0.025) + MAX(0, (Z479-800000)*0.025) - AA479 - AB479))</f>
      </c>
      <c r="AD479" s="8">
        <f>IF(E479="","",AC479)</f>
      </c>
    </row>
    <row r="480" spans="1:30" x14ac:dyDescent="0.25">
      <c r="A480" s="6"/>
      <c r="B480" s="6"/>
      <c r="C480" s="6"/>
      <c r="F480" s="6"/>
      <c r="G480" s="6"/>
      <c r="L480" s="7"/>
      <c r="M480" s="7"/>
      <c r="N480" s="7"/>
      <c r="O480" s="7"/>
      <c r="P480" s="7"/>
      <c r="Q480" s="7"/>
      <c r="R480" s="7"/>
      <c r="S480" s="8">
        <f>IF(E480="","",SUM(L480:O480) + Q480 + R480)</f>
      </c>
      <c r="T480" s="8">
        <f>IF(E480="","",S480*0.0275)</f>
      </c>
      <c r="U480" s="8">
        <f>IF(E480="","",IF(S480&gt;0, MIN(S480*0.06, 6480), 0))</f>
      </c>
      <c r="V480" s="7"/>
      <c r="W480" s="7"/>
      <c r="X480" s="7"/>
      <c r="Y480" s="8">
        <f>IF(E480="","",S480*0.015)</f>
      </c>
      <c r="Z480" s="8">
        <f>IF(E480="","",MAX(0, S480 - T480 - U480 - V480 - W480 - X480 - Y480 - IF(J480="Yes", 150000, 0)))</f>
      </c>
      <c r="AA480" s="8">
        <f>IF(E480="","",IF(OR(L480&gt;0, E480&lt;&gt;""), 2400, 0))</f>
      </c>
      <c r="AB480" s="7"/>
      <c r="AC480" s="8">
        <f>IF(E480="","",MAX(0, MAX(0, Z480*0.1) + MAX(0, (Z480-24000)*0.15) + MAX(0, (Z480-32333)*0.05) + MAX(0, (Z480-500000)*0.025) + MAX(0, (Z480-800000)*0.025) - AA480 - AB480))</f>
      </c>
      <c r="AD480" s="8">
        <f>IF(E480="","",AC480)</f>
      </c>
    </row>
    <row r="481" spans="1:30" x14ac:dyDescent="0.25">
      <c r="A481" s="6"/>
      <c r="B481" s="6"/>
      <c r="C481" s="6"/>
      <c r="F481" s="6"/>
      <c r="G481" s="6"/>
      <c r="L481" s="7"/>
      <c r="M481" s="7"/>
      <c r="N481" s="7"/>
      <c r="O481" s="7"/>
      <c r="P481" s="7"/>
      <c r="Q481" s="7"/>
      <c r="R481" s="7"/>
      <c r="S481" s="8">
        <f>IF(E481="","",SUM(L481:O481) + Q481 + R481)</f>
      </c>
      <c r="T481" s="8">
        <f>IF(E481="","",S481*0.0275)</f>
      </c>
      <c r="U481" s="8">
        <f>IF(E481="","",IF(S481&gt;0, MIN(S481*0.06, 6480), 0))</f>
      </c>
      <c r="V481" s="7"/>
      <c r="W481" s="7"/>
      <c r="X481" s="7"/>
      <c r="Y481" s="8">
        <f>IF(E481="","",S481*0.015)</f>
      </c>
      <c r="Z481" s="8">
        <f>IF(E481="","",MAX(0, S481 - T481 - U481 - V481 - W481 - X481 - Y481 - IF(J481="Yes", 150000, 0)))</f>
      </c>
      <c r="AA481" s="8">
        <f>IF(E481="","",IF(OR(L481&gt;0, E481&lt;&gt;""), 2400, 0))</f>
      </c>
      <c r="AB481" s="7"/>
      <c r="AC481" s="8">
        <f>IF(E481="","",MAX(0, MAX(0, Z481*0.1) + MAX(0, (Z481-24000)*0.15) + MAX(0, (Z481-32333)*0.05) + MAX(0, (Z481-500000)*0.025) + MAX(0, (Z481-800000)*0.025) - AA481 - AB481))</f>
      </c>
      <c r="AD481" s="8">
        <f>IF(E481="","",AC481)</f>
      </c>
    </row>
    <row r="482" spans="1:30" x14ac:dyDescent="0.25">
      <c r="A482" s="6"/>
      <c r="B482" s="6"/>
      <c r="C482" s="6"/>
      <c r="F482" s="6"/>
      <c r="G482" s="6"/>
      <c r="L482" s="7"/>
      <c r="M482" s="7"/>
      <c r="N482" s="7"/>
      <c r="O482" s="7"/>
      <c r="P482" s="7"/>
      <c r="Q482" s="7"/>
      <c r="R482" s="7"/>
      <c r="S482" s="8">
        <f>IF(E482="","",SUM(L482:O482) + Q482 + R482)</f>
      </c>
      <c r="T482" s="8">
        <f>IF(E482="","",S482*0.0275)</f>
      </c>
      <c r="U482" s="8">
        <f>IF(E482="","",IF(S482&gt;0, MIN(S482*0.06, 6480), 0))</f>
      </c>
      <c r="V482" s="7"/>
      <c r="W482" s="7"/>
      <c r="X482" s="7"/>
      <c r="Y482" s="8">
        <f>IF(E482="","",S482*0.015)</f>
      </c>
      <c r="Z482" s="8">
        <f>IF(E482="","",MAX(0, S482 - T482 - U482 - V482 - W482 - X482 - Y482 - IF(J482="Yes", 150000, 0)))</f>
      </c>
      <c r="AA482" s="8">
        <f>IF(E482="","",IF(OR(L482&gt;0, E482&lt;&gt;""), 2400, 0))</f>
      </c>
      <c r="AB482" s="7"/>
      <c r="AC482" s="8">
        <f>IF(E482="","",MAX(0, MAX(0, Z482*0.1) + MAX(0, (Z482-24000)*0.15) + MAX(0, (Z482-32333)*0.05) + MAX(0, (Z482-500000)*0.025) + MAX(0, (Z482-800000)*0.025) - AA482 - AB482))</f>
      </c>
      <c r="AD482" s="8">
        <f>IF(E482="","",AC482)</f>
      </c>
    </row>
    <row r="483" spans="1:30" x14ac:dyDescent="0.25">
      <c r="A483" s="6"/>
      <c r="B483" s="6"/>
      <c r="C483" s="6"/>
      <c r="F483" s="6"/>
      <c r="G483" s="6"/>
      <c r="L483" s="7"/>
      <c r="M483" s="7"/>
      <c r="N483" s="7"/>
      <c r="O483" s="7"/>
      <c r="P483" s="7"/>
      <c r="Q483" s="7"/>
      <c r="R483" s="7"/>
      <c r="S483" s="8">
        <f>IF(E483="","",SUM(L483:O483) + Q483 + R483)</f>
      </c>
      <c r="T483" s="8">
        <f>IF(E483="","",S483*0.0275)</f>
      </c>
      <c r="U483" s="8">
        <f>IF(E483="","",IF(S483&gt;0, MIN(S483*0.06, 6480), 0))</f>
      </c>
      <c r="V483" s="7"/>
      <c r="W483" s="7"/>
      <c r="X483" s="7"/>
      <c r="Y483" s="8">
        <f>IF(E483="","",S483*0.015)</f>
      </c>
      <c r="Z483" s="8">
        <f>IF(E483="","",MAX(0, S483 - T483 - U483 - V483 - W483 - X483 - Y483 - IF(J483="Yes", 150000, 0)))</f>
      </c>
      <c r="AA483" s="8">
        <f>IF(E483="","",IF(OR(L483&gt;0, E483&lt;&gt;""), 2400, 0))</f>
      </c>
      <c r="AB483" s="7"/>
      <c r="AC483" s="8">
        <f>IF(E483="","",MAX(0, MAX(0, Z483*0.1) + MAX(0, (Z483-24000)*0.15) + MAX(0, (Z483-32333)*0.05) + MAX(0, (Z483-500000)*0.025) + MAX(0, (Z483-800000)*0.025) - AA483 - AB483))</f>
      </c>
      <c r="AD483" s="8">
        <f>IF(E483="","",AC483)</f>
      </c>
    </row>
    <row r="484" spans="1:30" x14ac:dyDescent="0.25">
      <c r="A484" s="6"/>
      <c r="B484" s="6"/>
      <c r="C484" s="6"/>
      <c r="F484" s="6"/>
      <c r="G484" s="6"/>
      <c r="L484" s="7"/>
      <c r="M484" s="7"/>
      <c r="N484" s="7"/>
      <c r="O484" s="7"/>
      <c r="P484" s="7"/>
      <c r="Q484" s="7"/>
      <c r="R484" s="7"/>
      <c r="S484" s="8">
        <f>IF(E484="","",SUM(L484:O484) + Q484 + R484)</f>
      </c>
      <c r="T484" s="8">
        <f>IF(E484="","",S484*0.0275)</f>
      </c>
      <c r="U484" s="8">
        <f>IF(E484="","",IF(S484&gt;0, MIN(S484*0.06, 6480), 0))</f>
      </c>
      <c r="V484" s="7"/>
      <c r="W484" s="7"/>
      <c r="X484" s="7"/>
      <c r="Y484" s="8">
        <f>IF(E484="","",S484*0.015)</f>
      </c>
      <c r="Z484" s="8">
        <f>IF(E484="","",MAX(0, S484 - T484 - U484 - V484 - W484 - X484 - Y484 - IF(J484="Yes", 150000, 0)))</f>
      </c>
      <c r="AA484" s="8">
        <f>IF(E484="","",IF(OR(L484&gt;0, E484&lt;&gt;""), 2400, 0))</f>
      </c>
      <c r="AB484" s="7"/>
      <c r="AC484" s="8">
        <f>IF(E484="","",MAX(0, MAX(0, Z484*0.1) + MAX(0, (Z484-24000)*0.15) + MAX(0, (Z484-32333)*0.05) + MAX(0, (Z484-500000)*0.025) + MAX(0, (Z484-800000)*0.025) - AA484 - AB484))</f>
      </c>
      <c r="AD484" s="8">
        <f>IF(E484="","",AC484)</f>
      </c>
    </row>
    <row r="485" spans="1:30" x14ac:dyDescent="0.25">
      <c r="A485" s="6"/>
      <c r="B485" s="6"/>
      <c r="C485" s="6"/>
      <c r="F485" s="6"/>
      <c r="G485" s="6"/>
      <c r="L485" s="7"/>
      <c r="M485" s="7"/>
      <c r="N485" s="7"/>
      <c r="O485" s="7"/>
      <c r="P485" s="7"/>
      <c r="Q485" s="7"/>
      <c r="R485" s="7"/>
      <c r="S485" s="8">
        <f>IF(E485="","",SUM(L485:O485) + Q485 + R485)</f>
      </c>
      <c r="T485" s="8">
        <f>IF(E485="","",S485*0.0275)</f>
      </c>
      <c r="U485" s="8">
        <f>IF(E485="","",IF(S485&gt;0, MIN(S485*0.06, 6480), 0))</f>
      </c>
      <c r="V485" s="7"/>
      <c r="W485" s="7"/>
      <c r="X485" s="7"/>
      <c r="Y485" s="8">
        <f>IF(E485="","",S485*0.015)</f>
      </c>
      <c r="Z485" s="8">
        <f>IF(E485="","",MAX(0, S485 - T485 - U485 - V485 - W485 - X485 - Y485 - IF(J485="Yes", 150000, 0)))</f>
      </c>
      <c r="AA485" s="8">
        <f>IF(E485="","",IF(OR(L485&gt;0, E485&lt;&gt;""), 2400, 0))</f>
      </c>
      <c r="AB485" s="7"/>
      <c r="AC485" s="8">
        <f>IF(E485="","",MAX(0, MAX(0, Z485*0.1) + MAX(0, (Z485-24000)*0.15) + MAX(0, (Z485-32333)*0.05) + MAX(0, (Z485-500000)*0.025) + MAX(0, (Z485-800000)*0.025) - AA485 - AB485))</f>
      </c>
      <c r="AD485" s="8">
        <f>IF(E485="","",AC485)</f>
      </c>
    </row>
    <row r="486" spans="1:30" x14ac:dyDescent="0.25">
      <c r="A486" s="6"/>
      <c r="B486" s="6"/>
      <c r="C486" s="6"/>
      <c r="F486" s="6"/>
      <c r="G486" s="6"/>
      <c r="L486" s="7"/>
      <c r="M486" s="7"/>
      <c r="N486" s="7"/>
      <c r="O486" s="7"/>
      <c r="P486" s="7"/>
      <c r="Q486" s="7"/>
      <c r="R486" s="7"/>
      <c r="S486" s="8">
        <f>IF(E486="","",SUM(L486:O486) + Q486 + R486)</f>
      </c>
      <c r="T486" s="8">
        <f>IF(E486="","",S486*0.0275)</f>
      </c>
      <c r="U486" s="8">
        <f>IF(E486="","",IF(S486&gt;0, MIN(S486*0.06, 6480), 0))</f>
      </c>
      <c r="V486" s="7"/>
      <c r="W486" s="7"/>
      <c r="X486" s="7"/>
      <c r="Y486" s="8">
        <f>IF(E486="","",S486*0.015)</f>
      </c>
      <c r="Z486" s="8">
        <f>IF(E486="","",MAX(0, S486 - T486 - U486 - V486 - W486 - X486 - Y486 - IF(J486="Yes", 150000, 0)))</f>
      </c>
      <c r="AA486" s="8">
        <f>IF(E486="","",IF(OR(L486&gt;0, E486&lt;&gt;""), 2400, 0))</f>
      </c>
      <c r="AB486" s="7"/>
      <c r="AC486" s="8">
        <f>IF(E486="","",MAX(0, MAX(0, Z486*0.1) + MAX(0, (Z486-24000)*0.15) + MAX(0, (Z486-32333)*0.05) + MAX(0, (Z486-500000)*0.025) + MAX(0, (Z486-800000)*0.025) - AA486 - AB486))</f>
      </c>
      <c r="AD486" s="8">
        <f>IF(E486="","",AC486)</f>
      </c>
    </row>
    <row r="487" spans="1:30" x14ac:dyDescent="0.25">
      <c r="A487" s="6"/>
      <c r="B487" s="6"/>
      <c r="C487" s="6"/>
      <c r="F487" s="6"/>
      <c r="G487" s="6"/>
      <c r="L487" s="7"/>
      <c r="M487" s="7"/>
      <c r="N487" s="7"/>
      <c r="O487" s="7"/>
      <c r="P487" s="7"/>
      <c r="Q487" s="7"/>
      <c r="R487" s="7"/>
      <c r="S487" s="8">
        <f>IF(E487="","",SUM(L487:O487) + Q487 + R487)</f>
      </c>
      <c r="T487" s="8">
        <f>IF(E487="","",S487*0.0275)</f>
      </c>
      <c r="U487" s="8">
        <f>IF(E487="","",IF(S487&gt;0, MIN(S487*0.06, 6480), 0))</f>
      </c>
      <c r="V487" s="7"/>
      <c r="W487" s="7"/>
      <c r="X487" s="7"/>
      <c r="Y487" s="8">
        <f>IF(E487="","",S487*0.015)</f>
      </c>
      <c r="Z487" s="8">
        <f>IF(E487="","",MAX(0, S487 - T487 - U487 - V487 - W487 - X487 - Y487 - IF(J487="Yes", 150000, 0)))</f>
      </c>
      <c r="AA487" s="8">
        <f>IF(E487="","",IF(OR(L487&gt;0, E487&lt;&gt;""), 2400, 0))</f>
      </c>
      <c r="AB487" s="7"/>
      <c r="AC487" s="8">
        <f>IF(E487="","",MAX(0, MAX(0, Z487*0.1) + MAX(0, (Z487-24000)*0.15) + MAX(0, (Z487-32333)*0.05) + MAX(0, (Z487-500000)*0.025) + MAX(0, (Z487-800000)*0.025) - AA487 - AB487))</f>
      </c>
      <c r="AD487" s="8">
        <f>IF(E487="","",AC487)</f>
      </c>
    </row>
    <row r="488" spans="1:30" x14ac:dyDescent="0.25">
      <c r="A488" s="6"/>
      <c r="B488" s="6"/>
      <c r="C488" s="6"/>
      <c r="F488" s="6"/>
      <c r="G488" s="6"/>
      <c r="L488" s="7"/>
      <c r="M488" s="7"/>
      <c r="N488" s="7"/>
      <c r="O488" s="7"/>
      <c r="P488" s="7"/>
      <c r="Q488" s="7"/>
      <c r="R488" s="7"/>
      <c r="S488" s="8">
        <f>IF(E488="","",SUM(L488:O488) + Q488 + R488)</f>
      </c>
      <c r="T488" s="8">
        <f>IF(E488="","",S488*0.0275)</f>
      </c>
      <c r="U488" s="8">
        <f>IF(E488="","",IF(S488&gt;0, MIN(S488*0.06, 6480), 0))</f>
      </c>
      <c r="V488" s="7"/>
      <c r="W488" s="7"/>
      <c r="X488" s="7"/>
      <c r="Y488" s="8">
        <f>IF(E488="","",S488*0.015)</f>
      </c>
      <c r="Z488" s="8">
        <f>IF(E488="","",MAX(0, S488 - T488 - U488 - V488 - W488 - X488 - Y488 - IF(J488="Yes", 150000, 0)))</f>
      </c>
      <c r="AA488" s="8">
        <f>IF(E488="","",IF(OR(L488&gt;0, E488&lt;&gt;""), 2400, 0))</f>
      </c>
      <c r="AB488" s="7"/>
      <c r="AC488" s="8">
        <f>IF(E488="","",MAX(0, MAX(0, Z488*0.1) + MAX(0, (Z488-24000)*0.15) + MAX(0, (Z488-32333)*0.05) + MAX(0, (Z488-500000)*0.025) + MAX(0, (Z488-800000)*0.025) - AA488 - AB488))</f>
      </c>
      <c r="AD488" s="8">
        <f>IF(E488="","",AC488)</f>
      </c>
    </row>
    <row r="489" spans="1:30" x14ac:dyDescent="0.25">
      <c r="A489" s="6"/>
      <c r="B489" s="6"/>
      <c r="C489" s="6"/>
      <c r="F489" s="6"/>
      <c r="G489" s="6"/>
      <c r="L489" s="7"/>
      <c r="M489" s="7"/>
      <c r="N489" s="7"/>
      <c r="O489" s="7"/>
      <c r="P489" s="7"/>
      <c r="Q489" s="7"/>
      <c r="R489" s="7"/>
      <c r="S489" s="8">
        <f>IF(E489="","",SUM(L489:O489) + Q489 + R489)</f>
      </c>
      <c r="T489" s="8">
        <f>IF(E489="","",S489*0.0275)</f>
      </c>
      <c r="U489" s="8">
        <f>IF(E489="","",IF(S489&gt;0, MIN(S489*0.06, 6480), 0))</f>
      </c>
      <c r="V489" s="7"/>
      <c r="W489" s="7"/>
      <c r="X489" s="7"/>
      <c r="Y489" s="8">
        <f>IF(E489="","",S489*0.015)</f>
      </c>
      <c r="Z489" s="8">
        <f>IF(E489="","",MAX(0, S489 - T489 - U489 - V489 - W489 - X489 - Y489 - IF(J489="Yes", 150000, 0)))</f>
      </c>
      <c r="AA489" s="8">
        <f>IF(E489="","",IF(OR(L489&gt;0, E489&lt;&gt;""), 2400, 0))</f>
      </c>
      <c r="AB489" s="7"/>
      <c r="AC489" s="8">
        <f>IF(E489="","",MAX(0, MAX(0, Z489*0.1) + MAX(0, (Z489-24000)*0.15) + MAX(0, (Z489-32333)*0.05) + MAX(0, (Z489-500000)*0.025) + MAX(0, (Z489-800000)*0.025) - AA489 - AB489))</f>
      </c>
      <c r="AD489" s="8">
        <f>IF(E489="","",AC489)</f>
      </c>
    </row>
    <row r="490" spans="1:30" x14ac:dyDescent="0.25">
      <c r="A490" s="6"/>
      <c r="B490" s="6"/>
      <c r="C490" s="6"/>
      <c r="F490" s="6"/>
      <c r="G490" s="6"/>
      <c r="L490" s="7"/>
      <c r="M490" s="7"/>
      <c r="N490" s="7"/>
      <c r="O490" s="7"/>
      <c r="P490" s="7"/>
      <c r="Q490" s="7"/>
      <c r="R490" s="7"/>
      <c r="S490" s="8">
        <f>IF(E490="","",SUM(L490:O490) + Q490 + R490)</f>
      </c>
      <c r="T490" s="8">
        <f>IF(E490="","",S490*0.0275)</f>
      </c>
      <c r="U490" s="8">
        <f>IF(E490="","",IF(S490&gt;0, MIN(S490*0.06, 6480), 0))</f>
      </c>
      <c r="V490" s="7"/>
      <c r="W490" s="7"/>
      <c r="X490" s="7"/>
      <c r="Y490" s="8">
        <f>IF(E490="","",S490*0.015)</f>
      </c>
      <c r="Z490" s="8">
        <f>IF(E490="","",MAX(0, S490 - T490 - U490 - V490 - W490 - X490 - Y490 - IF(J490="Yes", 150000, 0)))</f>
      </c>
      <c r="AA490" s="8">
        <f>IF(E490="","",IF(OR(L490&gt;0, E490&lt;&gt;""), 2400, 0))</f>
      </c>
      <c r="AB490" s="7"/>
      <c r="AC490" s="8">
        <f>IF(E490="","",MAX(0, MAX(0, Z490*0.1) + MAX(0, (Z490-24000)*0.15) + MAX(0, (Z490-32333)*0.05) + MAX(0, (Z490-500000)*0.025) + MAX(0, (Z490-800000)*0.025) - AA490 - AB490))</f>
      </c>
      <c r="AD490" s="8">
        <f>IF(E490="","",AC490)</f>
      </c>
    </row>
    <row r="491" spans="1:30" x14ac:dyDescent="0.25">
      <c r="A491" s="6"/>
      <c r="B491" s="6"/>
      <c r="C491" s="6"/>
      <c r="F491" s="6"/>
      <c r="G491" s="6"/>
      <c r="L491" s="7"/>
      <c r="M491" s="7"/>
      <c r="N491" s="7"/>
      <c r="O491" s="7"/>
      <c r="P491" s="7"/>
      <c r="Q491" s="7"/>
      <c r="R491" s="7"/>
      <c r="S491" s="8">
        <f>IF(E491="","",SUM(L491:O491) + Q491 + R491)</f>
      </c>
      <c r="T491" s="8">
        <f>IF(E491="","",S491*0.0275)</f>
      </c>
      <c r="U491" s="8">
        <f>IF(E491="","",IF(S491&gt;0, MIN(S491*0.06, 6480), 0))</f>
      </c>
      <c r="V491" s="7"/>
      <c r="W491" s="7"/>
      <c r="X491" s="7"/>
      <c r="Y491" s="8">
        <f>IF(E491="","",S491*0.015)</f>
      </c>
      <c r="Z491" s="8">
        <f>IF(E491="","",MAX(0, S491 - T491 - U491 - V491 - W491 - X491 - Y491 - IF(J491="Yes", 150000, 0)))</f>
      </c>
      <c r="AA491" s="8">
        <f>IF(E491="","",IF(OR(L491&gt;0, E491&lt;&gt;""), 2400, 0))</f>
      </c>
      <c r="AB491" s="7"/>
      <c r="AC491" s="8">
        <f>IF(E491="","",MAX(0, MAX(0, Z491*0.1) + MAX(0, (Z491-24000)*0.15) + MAX(0, (Z491-32333)*0.05) + MAX(0, (Z491-500000)*0.025) + MAX(0, (Z491-800000)*0.025) - AA491 - AB491))</f>
      </c>
      <c r="AD491" s="8">
        <f>IF(E491="","",AC491)</f>
      </c>
    </row>
    <row r="492" spans="1:30" x14ac:dyDescent="0.25">
      <c r="A492" s="6"/>
      <c r="B492" s="6"/>
      <c r="C492" s="6"/>
      <c r="F492" s="6"/>
      <c r="G492" s="6"/>
      <c r="L492" s="7"/>
      <c r="M492" s="7"/>
      <c r="N492" s="7"/>
      <c r="O492" s="7"/>
      <c r="P492" s="7"/>
      <c r="Q492" s="7"/>
      <c r="R492" s="7"/>
      <c r="S492" s="8">
        <f>IF(E492="","",SUM(L492:O492) + Q492 + R492)</f>
      </c>
      <c r="T492" s="8">
        <f>IF(E492="","",S492*0.0275)</f>
      </c>
      <c r="U492" s="8">
        <f>IF(E492="","",IF(S492&gt;0, MIN(S492*0.06, 6480), 0))</f>
      </c>
      <c r="V492" s="7"/>
      <c r="W492" s="7"/>
      <c r="X492" s="7"/>
      <c r="Y492" s="8">
        <f>IF(E492="","",S492*0.015)</f>
      </c>
      <c r="Z492" s="8">
        <f>IF(E492="","",MAX(0, S492 - T492 - U492 - V492 - W492 - X492 - Y492 - IF(J492="Yes", 150000, 0)))</f>
      </c>
      <c r="AA492" s="8">
        <f>IF(E492="","",IF(OR(L492&gt;0, E492&lt;&gt;""), 2400, 0))</f>
      </c>
      <c r="AB492" s="7"/>
      <c r="AC492" s="8">
        <f>IF(E492="","",MAX(0, MAX(0, Z492*0.1) + MAX(0, (Z492-24000)*0.15) + MAX(0, (Z492-32333)*0.05) + MAX(0, (Z492-500000)*0.025) + MAX(0, (Z492-800000)*0.025) - AA492 - AB492))</f>
      </c>
      <c r="AD492" s="8">
        <f>IF(E492="","",AC492)</f>
      </c>
    </row>
    <row r="493" spans="1:30" x14ac:dyDescent="0.25">
      <c r="A493" s="6"/>
      <c r="B493" s="6"/>
      <c r="C493" s="6"/>
      <c r="F493" s="6"/>
      <c r="G493" s="6"/>
      <c r="L493" s="7"/>
      <c r="M493" s="7"/>
      <c r="N493" s="7"/>
      <c r="O493" s="7"/>
      <c r="P493" s="7"/>
      <c r="Q493" s="7"/>
      <c r="R493" s="7"/>
      <c r="S493" s="8">
        <f>IF(E493="","",SUM(L493:O493) + Q493 + R493)</f>
      </c>
      <c r="T493" s="8">
        <f>IF(E493="","",S493*0.0275)</f>
      </c>
      <c r="U493" s="8">
        <f>IF(E493="","",IF(S493&gt;0, MIN(S493*0.06, 6480), 0))</f>
      </c>
      <c r="V493" s="7"/>
      <c r="W493" s="7"/>
      <c r="X493" s="7"/>
      <c r="Y493" s="8">
        <f>IF(E493="","",S493*0.015)</f>
      </c>
      <c r="Z493" s="8">
        <f>IF(E493="","",MAX(0, S493 - T493 - U493 - V493 - W493 - X493 - Y493 - IF(J493="Yes", 150000, 0)))</f>
      </c>
      <c r="AA493" s="8">
        <f>IF(E493="","",IF(OR(L493&gt;0, E493&lt;&gt;""), 2400, 0))</f>
      </c>
      <c r="AB493" s="7"/>
      <c r="AC493" s="8">
        <f>IF(E493="","",MAX(0, MAX(0, Z493*0.1) + MAX(0, (Z493-24000)*0.15) + MAX(0, (Z493-32333)*0.05) + MAX(0, (Z493-500000)*0.025) + MAX(0, (Z493-800000)*0.025) - AA493 - AB493))</f>
      </c>
      <c r="AD493" s="8">
        <f>IF(E493="","",AC493)</f>
      </c>
    </row>
    <row r="494" spans="1:30" x14ac:dyDescent="0.25">
      <c r="A494" s="6"/>
      <c r="B494" s="6"/>
      <c r="C494" s="6"/>
      <c r="F494" s="6"/>
      <c r="G494" s="6"/>
      <c r="L494" s="7"/>
      <c r="M494" s="7"/>
      <c r="N494" s="7"/>
      <c r="O494" s="7"/>
      <c r="P494" s="7"/>
      <c r="Q494" s="7"/>
      <c r="R494" s="7"/>
      <c r="S494" s="8">
        <f>IF(E494="","",SUM(L494:O494) + Q494 + R494)</f>
      </c>
      <c r="T494" s="8">
        <f>IF(E494="","",S494*0.0275)</f>
      </c>
      <c r="U494" s="8">
        <f>IF(E494="","",IF(S494&gt;0, MIN(S494*0.06, 6480), 0))</f>
      </c>
      <c r="V494" s="7"/>
      <c r="W494" s="7"/>
      <c r="X494" s="7"/>
      <c r="Y494" s="8">
        <f>IF(E494="","",S494*0.015)</f>
      </c>
      <c r="Z494" s="8">
        <f>IF(E494="","",MAX(0, S494 - T494 - U494 - V494 - W494 - X494 - Y494 - IF(J494="Yes", 150000, 0)))</f>
      </c>
      <c r="AA494" s="8">
        <f>IF(E494="","",IF(OR(L494&gt;0, E494&lt;&gt;""), 2400, 0))</f>
      </c>
      <c r="AB494" s="7"/>
      <c r="AC494" s="8">
        <f>IF(E494="","",MAX(0, MAX(0, Z494*0.1) + MAX(0, (Z494-24000)*0.15) + MAX(0, (Z494-32333)*0.05) + MAX(0, (Z494-500000)*0.025) + MAX(0, (Z494-800000)*0.025) - AA494 - AB494))</f>
      </c>
      <c r="AD494" s="8">
        <f>IF(E494="","",AC494)</f>
      </c>
    </row>
    <row r="495" spans="1:30" x14ac:dyDescent="0.25">
      <c r="A495" s="6"/>
      <c r="B495" s="6"/>
      <c r="C495" s="6"/>
      <c r="F495" s="6"/>
      <c r="G495" s="6"/>
      <c r="L495" s="7"/>
      <c r="M495" s="7"/>
      <c r="N495" s="7"/>
      <c r="O495" s="7"/>
      <c r="P495" s="7"/>
      <c r="Q495" s="7"/>
      <c r="R495" s="7"/>
      <c r="S495" s="8">
        <f>IF(E495="","",SUM(L495:O495) + Q495 + R495)</f>
      </c>
      <c r="T495" s="8">
        <f>IF(E495="","",S495*0.0275)</f>
      </c>
      <c r="U495" s="8">
        <f>IF(E495="","",IF(S495&gt;0, MIN(S495*0.06, 6480), 0))</f>
      </c>
      <c r="V495" s="7"/>
      <c r="W495" s="7"/>
      <c r="X495" s="7"/>
      <c r="Y495" s="8">
        <f>IF(E495="","",S495*0.015)</f>
      </c>
      <c r="Z495" s="8">
        <f>IF(E495="","",MAX(0, S495 - T495 - U495 - V495 - W495 - X495 - Y495 - IF(J495="Yes", 150000, 0)))</f>
      </c>
      <c r="AA495" s="8">
        <f>IF(E495="","",IF(OR(L495&gt;0, E495&lt;&gt;""), 2400, 0))</f>
      </c>
      <c r="AB495" s="7"/>
      <c r="AC495" s="8">
        <f>IF(E495="","",MAX(0, MAX(0, Z495*0.1) + MAX(0, (Z495-24000)*0.15) + MAX(0, (Z495-32333)*0.05) + MAX(0, (Z495-500000)*0.025) + MAX(0, (Z495-800000)*0.025) - AA495 - AB495))</f>
      </c>
      <c r="AD495" s="8">
        <f>IF(E495="","",AC495)</f>
      </c>
    </row>
    <row r="496" spans="1:30" x14ac:dyDescent="0.25">
      <c r="A496" s="6"/>
      <c r="B496" s="6"/>
      <c r="C496" s="6"/>
      <c r="F496" s="6"/>
      <c r="G496" s="6"/>
      <c r="L496" s="7"/>
      <c r="M496" s="7"/>
      <c r="N496" s="7"/>
      <c r="O496" s="7"/>
      <c r="P496" s="7"/>
      <c r="Q496" s="7"/>
      <c r="R496" s="7"/>
      <c r="S496" s="8">
        <f>IF(E496="","",SUM(L496:O496) + Q496 + R496)</f>
      </c>
      <c r="T496" s="8">
        <f>IF(E496="","",S496*0.0275)</f>
      </c>
      <c r="U496" s="8">
        <f>IF(E496="","",IF(S496&gt;0, MIN(S496*0.06, 6480), 0))</f>
      </c>
      <c r="V496" s="7"/>
      <c r="W496" s="7"/>
      <c r="X496" s="7"/>
      <c r="Y496" s="8">
        <f>IF(E496="","",S496*0.015)</f>
      </c>
      <c r="Z496" s="8">
        <f>IF(E496="","",MAX(0, S496 - T496 - U496 - V496 - W496 - X496 - Y496 - IF(J496="Yes", 150000, 0)))</f>
      </c>
      <c r="AA496" s="8">
        <f>IF(E496="","",IF(OR(L496&gt;0, E496&lt;&gt;""), 2400, 0))</f>
      </c>
      <c r="AB496" s="7"/>
      <c r="AC496" s="8">
        <f>IF(E496="","",MAX(0, MAX(0, Z496*0.1) + MAX(0, (Z496-24000)*0.15) + MAX(0, (Z496-32333)*0.05) + MAX(0, (Z496-500000)*0.025) + MAX(0, (Z496-800000)*0.025) - AA496 - AB496))</f>
      </c>
      <c r="AD496" s="8">
        <f>IF(E496="","",AC496)</f>
      </c>
    </row>
    <row r="497" spans="1:30" x14ac:dyDescent="0.25">
      <c r="A497" s="6"/>
      <c r="B497" s="6"/>
      <c r="C497" s="6"/>
      <c r="F497" s="6"/>
      <c r="G497" s="6"/>
      <c r="L497" s="7"/>
      <c r="M497" s="7"/>
      <c r="N497" s="7"/>
      <c r="O497" s="7"/>
      <c r="P497" s="7"/>
      <c r="Q497" s="7"/>
      <c r="R497" s="7"/>
      <c r="S497" s="8">
        <f>IF(E497="","",SUM(L497:O497) + Q497 + R497)</f>
      </c>
      <c r="T497" s="8">
        <f>IF(E497="","",S497*0.0275)</f>
      </c>
      <c r="U497" s="8">
        <f>IF(E497="","",IF(S497&gt;0, MIN(S497*0.06, 6480), 0))</f>
      </c>
      <c r="V497" s="7"/>
      <c r="W497" s="7"/>
      <c r="X497" s="7"/>
      <c r="Y497" s="8">
        <f>IF(E497="","",S497*0.015)</f>
      </c>
      <c r="Z497" s="8">
        <f>IF(E497="","",MAX(0, S497 - T497 - U497 - V497 - W497 - X497 - Y497 - IF(J497="Yes", 150000, 0)))</f>
      </c>
      <c r="AA497" s="8">
        <f>IF(E497="","",IF(OR(L497&gt;0, E497&lt;&gt;""), 2400, 0))</f>
      </c>
      <c r="AB497" s="7"/>
      <c r="AC497" s="8">
        <f>IF(E497="","",MAX(0, MAX(0, Z497*0.1) + MAX(0, (Z497-24000)*0.15) + MAX(0, (Z497-32333)*0.05) + MAX(0, (Z497-500000)*0.025) + MAX(0, (Z497-800000)*0.025) - AA497 - AB497))</f>
      </c>
      <c r="AD497" s="8">
        <f>IF(E497="","",AC497)</f>
      </c>
    </row>
    <row r="498" spans="1:30" x14ac:dyDescent="0.25">
      <c r="A498" s="6"/>
      <c r="B498" s="6"/>
      <c r="C498" s="6"/>
      <c r="F498" s="6"/>
      <c r="G498" s="6"/>
      <c r="L498" s="7"/>
      <c r="M498" s="7"/>
      <c r="N498" s="7"/>
      <c r="O498" s="7"/>
      <c r="P498" s="7"/>
      <c r="Q498" s="7"/>
      <c r="R498" s="7"/>
      <c r="S498" s="8">
        <f>IF(E498="","",SUM(L498:O498) + Q498 + R498)</f>
      </c>
      <c r="T498" s="8">
        <f>IF(E498="","",S498*0.0275)</f>
      </c>
      <c r="U498" s="8">
        <f>IF(E498="","",IF(S498&gt;0, MIN(S498*0.06, 6480), 0))</f>
      </c>
      <c r="V498" s="7"/>
      <c r="W498" s="7"/>
      <c r="X498" s="7"/>
      <c r="Y498" s="8">
        <f>IF(E498="","",S498*0.015)</f>
      </c>
      <c r="Z498" s="8">
        <f>IF(E498="","",MAX(0, S498 - T498 - U498 - V498 - W498 - X498 - Y498 - IF(J498="Yes", 150000, 0)))</f>
      </c>
      <c r="AA498" s="8">
        <f>IF(E498="","",IF(OR(L498&gt;0, E498&lt;&gt;""), 2400, 0))</f>
      </c>
      <c r="AB498" s="7"/>
      <c r="AC498" s="8">
        <f>IF(E498="","",MAX(0, MAX(0, Z498*0.1) + MAX(0, (Z498-24000)*0.15) + MAX(0, (Z498-32333)*0.05) + MAX(0, (Z498-500000)*0.025) + MAX(0, (Z498-800000)*0.025) - AA498 - AB498))</f>
      </c>
      <c r="AD498" s="8">
        <f>IF(E498="","",AC498)</f>
      </c>
    </row>
    <row r="499" spans="1:30" x14ac:dyDescent="0.25">
      <c r="A499" s="6"/>
      <c r="B499" s="6"/>
      <c r="C499" s="6"/>
      <c r="F499" s="6"/>
      <c r="G499" s="6"/>
      <c r="L499" s="7"/>
      <c r="M499" s="7"/>
      <c r="N499" s="7"/>
      <c r="O499" s="7"/>
      <c r="P499" s="7"/>
      <c r="Q499" s="7"/>
      <c r="R499" s="7"/>
      <c r="S499" s="8">
        <f>IF(E499="","",SUM(L499:O499) + Q499 + R499)</f>
      </c>
      <c r="T499" s="8">
        <f>IF(E499="","",S499*0.0275)</f>
      </c>
      <c r="U499" s="8">
        <f>IF(E499="","",IF(S499&gt;0, MIN(S499*0.06, 6480), 0))</f>
      </c>
      <c r="V499" s="7"/>
      <c r="W499" s="7"/>
      <c r="X499" s="7"/>
      <c r="Y499" s="8">
        <f>IF(E499="","",S499*0.015)</f>
      </c>
      <c r="Z499" s="8">
        <f>IF(E499="","",MAX(0, S499 - T499 - U499 - V499 - W499 - X499 - Y499 - IF(J499="Yes", 150000, 0)))</f>
      </c>
      <c r="AA499" s="8">
        <f>IF(E499="","",IF(OR(L499&gt;0, E499&lt;&gt;""), 2400, 0))</f>
      </c>
      <c r="AB499" s="7"/>
      <c r="AC499" s="8">
        <f>IF(E499="","",MAX(0, MAX(0, Z499*0.1) + MAX(0, (Z499-24000)*0.15) + MAX(0, (Z499-32333)*0.05) + MAX(0, (Z499-500000)*0.025) + MAX(0, (Z499-800000)*0.025) - AA499 - AB499))</f>
      </c>
      <c r="AD499" s="8">
        <f>IF(E499="","",AC499)</f>
      </c>
    </row>
    <row r="500" spans="1:30" x14ac:dyDescent="0.25">
      <c r="A500" s="6"/>
      <c r="B500" s="6"/>
      <c r="C500" s="6"/>
      <c r="F500" s="6"/>
      <c r="G500" s="6"/>
      <c r="L500" s="7"/>
      <c r="M500" s="7"/>
      <c r="N500" s="7"/>
      <c r="O500" s="7"/>
      <c r="P500" s="7"/>
      <c r="Q500" s="7"/>
      <c r="R500" s="7"/>
      <c r="S500" s="8">
        <f>IF(E500="","",SUM(L500:O500) + Q500 + R500)</f>
      </c>
      <c r="T500" s="8">
        <f>IF(E500="","",S500*0.0275)</f>
      </c>
      <c r="U500" s="8">
        <f>IF(E500="","",IF(S500&gt;0, MIN(S500*0.06, 6480), 0))</f>
      </c>
      <c r="V500" s="7"/>
      <c r="W500" s="7"/>
      <c r="X500" s="7"/>
      <c r="Y500" s="8">
        <f>IF(E500="","",S500*0.015)</f>
      </c>
      <c r="Z500" s="8">
        <f>IF(E500="","",MAX(0, S500 - T500 - U500 - V500 - W500 - X500 - Y500 - IF(J500="Yes", 150000, 0)))</f>
      </c>
      <c r="AA500" s="8">
        <f>IF(E500="","",IF(OR(L500&gt;0, E500&lt;&gt;""), 2400, 0))</f>
      </c>
      <c r="AB500" s="7"/>
      <c r="AC500" s="8">
        <f>IF(E500="","",MAX(0, MAX(0, Z500*0.1) + MAX(0, (Z500-24000)*0.15) + MAX(0, (Z500-32333)*0.05) + MAX(0, (Z500-500000)*0.025) + MAX(0, (Z500-800000)*0.025) - AA500 - AB500))</f>
      </c>
      <c r="AD500" s="8">
        <f>IF(E500="","",AC500)</f>
      </c>
    </row>
    <row r="501" spans="1:30" x14ac:dyDescent="0.25">
      <c r="A501" s="6"/>
      <c r="B501" s="6"/>
      <c r="C501" s="6"/>
      <c r="F501" s="6"/>
      <c r="G501" s="6"/>
      <c r="L501" s="7"/>
      <c r="M501" s="7"/>
      <c r="N501" s="7"/>
      <c r="O501" s="7"/>
      <c r="P501" s="7"/>
      <c r="Q501" s="7"/>
      <c r="R501" s="7"/>
      <c r="S501" s="8">
        <f>IF(E501="","",SUM(L501:O501) + Q501 + R501)</f>
      </c>
      <c r="T501" s="8">
        <f>IF(E501="","",S501*0.0275)</f>
      </c>
      <c r="U501" s="8">
        <f>IF(E501="","",IF(S501&gt;0, MIN(S501*0.06, 6480), 0))</f>
      </c>
      <c r="V501" s="7"/>
      <c r="W501" s="7"/>
      <c r="X501" s="7"/>
      <c r="Y501" s="8">
        <f>IF(E501="","",S501*0.015)</f>
      </c>
      <c r="Z501" s="8">
        <f>IF(E501="","",MAX(0, S501 - T501 - U501 - V501 - W501 - X501 - Y501 - IF(J501="Yes", 150000, 0)))</f>
      </c>
      <c r="AA501" s="8">
        <f>IF(E501="","",IF(OR(L501&gt;0, E501&lt;&gt;""), 2400, 0))</f>
      </c>
      <c r="AB501" s="7"/>
      <c r="AC501" s="8">
        <f>IF(E501="","",MAX(0, MAX(0, Z501*0.1) + MAX(0, (Z501-24000)*0.15) + MAX(0, (Z501-32333)*0.05) + MAX(0, (Z501-500000)*0.025) + MAX(0, (Z501-800000)*0.025) - AA501 - AB501))</f>
      </c>
      <c r="AD501" s="8">
        <f>IF(E501="","",AC501)</f>
      </c>
    </row>
    <row r="502" spans="1:30" x14ac:dyDescent="0.25">
      <c r="A502" s="6"/>
      <c r="B502" s="6"/>
      <c r="C502" s="6"/>
      <c r="F502" s="6"/>
      <c r="G502" s="6"/>
      <c r="L502" s="7"/>
      <c r="M502" s="7"/>
      <c r="N502" s="7"/>
      <c r="O502" s="7"/>
      <c r="P502" s="7"/>
      <c r="Q502" s="7"/>
      <c r="R502" s="7"/>
      <c r="S502" s="8">
        <f>IF(E502="","",SUM(L502:O502) + Q502 + R502)</f>
      </c>
      <c r="T502" s="8">
        <f>IF(E502="","",S502*0.0275)</f>
      </c>
      <c r="U502" s="8">
        <f>IF(E502="","",IF(S502&gt;0, MIN(S502*0.06, 6480), 0))</f>
      </c>
      <c r="V502" s="7"/>
      <c r="W502" s="7"/>
      <c r="X502" s="7"/>
      <c r="Y502" s="8">
        <f>IF(E502="","",S502*0.015)</f>
      </c>
      <c r="Z502" s="8">
        <f>IF(E502="","",MAX(0, S502 - T502 - U502 - V502 - W502 - X502 - Y502 - IF(J502="Yes", 150000, 0)))</f>
      </c>
      <c r="AA502" s="8">
        <f>IF(E502="","",IF(OR(L502&gt;0, E502&lt;&gt;""), 2400, 0))</f>
      </c>
      <c r="AB502" s="7"/>
      <c r="AC502" s="8">
        <f>IF(E502="","",MAX(0, MAX(0, Z502*0.1) + MAX(0, (Z502-24000)*0.15) + MAX(0, (Z502-32333)*0.05) + MAX(0, (Z502-500000)*0.025) + MAX(0, (Z502-800000)*0.025) - AA502 - AB502))</f>
      </c>
      <c r="AD502" s="8">
        <f>IF(E502="","",AC502)</f>
      </c>
    </row>
    <row r="503" spans="1:30" x14ac:dyDescent="0.25">
      <c r="A503" s="6"/>
      <c r="B503" s="6"/>
      <c r="C503" s="6"/>
      <c r="F503" s="6"/>
      <c r="G503" s="6"/>
      <c r="L503" s="7"/>
      <c r="M503" s="7"/>
      <c r="N503" s="7"/>
      <c r="O503" s="7"/>
      <c r="P503" s="7"/>
      <c r="Q503" s="7"/>
      <c r="R503" s="7"/>
      <c r="S503" s="8">
        <f>IF(E503="","",SUM(L503:O503) + Q503 + R503)</f>
      </c>
      <c r="T503" s="8">
        <f>IF(E503="","",S503*0.0275)</f>
      </c>
      <c r="U503" s="8">
        <f>IF(E503="","",IF(S503&gt;0, MIN(S503*0.06, 6480), 0))</f>
      </c>
      <c r="V503" s="7"/>
      <c r="W503" s="7"/>
      <c r="X503" s="7"/>
      <c r="Y503" s="8">
        <f>IF(E503="","",S503*0.015)</f>
      </c>
      <c r="Z503" s="8">
        <f>IF(E503="","",MAX(0, S503 - T503 - U503 - V503 - W503 - X503 - Y503 - IF(J503="Yes", 150000, 0)))</f>
      </c>
      <c r="AA503" s="8">
        <f>IF(E503="","",IF(OR(L503&gt;0, E503&lt;&gt;""), 2400, 0))</f>
      </c>
      <c r="AB503" s="7"/>
      <c r="AC503" s="8">
        <f>IF(E503="","",MAX(0, MAX(0, Z503*0.1) + MAX(0, (Z503-24000)*0.15) + MAX(0, (Z503-32333)*0.05) + MAX(0, (Z503-500000)*0.025) + MAX(0, (Z503-800000)*0.025) - AA503 - AB503))</f>
      </c>
      <c r="AD503" s="8">
        <f>IF(E503="","",AC503)</f>
      </c>
    </row>
    <row r="504" spans="1:30" x14ac:dyDescent="0.25">
      <c r="A504" s="6"/>
      <c r="B504" s="6"/>
      <c r="C504" s="6"/>
      <c r="F504" s="6"/>
      <c r="G504" s="6"/>
      <c r="L504" s="7"/>
      <c r="M504" s="7"/>
      <c r="N504" s="7"/>
      <c r="O504" s="7"/>
      <c r="P504" s="7"/>
      <c r="Q504" s="7"/>
      <c r="R504" s="7"/>
      <c r="S504" s="8">
        <f>IF(E504="","",SUM(L504:O504) + Q504 + R504)</f>
      </c>
      <c r="T504" s="8">
        <f>IF(E504="","",S504*0.0275)</f>
      </c>
      <c r="U504" s="8">
        <f>IF(E504="","",IF(S504&gt;0, MIN(S504*0.06, 6480), 0))</f>
      </c>
      <c r="V504" s="7"/>
      <c r="W504" s="7"/>
      <c r="X504" s="7"/>
      <c r="Y504" s="8">
        <f>IF(E504="","",S504*0.015)</f>
      </c>
      <c r="Z504" s="8">
        <f>IF(E504="","",MAX(0, S504 - T504 - U504 - V504 - W504 - X504 - Y504 - IF(J504="Yes", 150000, 0)))</f>
      </c>
      <c r="AA504" s="8">
        <f>IF(E504="","",IF(OR(L504&gt;0, E504&lt;&gt;""), 2400, 0))</f>
      </c>
      <c r="AB504" s="7"/>
      <c r="AC504" s="8">
        <f>IF(E504="","",MAX(0, MAX(0, Z504*0.1) + MAX(0, (Z504-24000)*0.15) + MAX(0, (Z504-32333)*0.05) + MAX(0, (Z504-500000)*0.025) + MAX(0, (Z504-800000)*0.025) - AA504 - AB504))</f>
      </c>
      <c r="AD504" s="8">
        <f>IF(E504="","",AC504)</f>
      </c>
    </row>
    <row r="505" spans="1:30" x14ac:dyDescent="0.25">
      <c r="A505" s="6"/>
      <c r="B505" s="6"/>
      <c r="C505" s="6"/>
      <c r="F505" s="6"/>
      <c r="G505" s="6"/>
      <c r="L505" s="7"/>
      <c r="M505" s="7"/>
      <c r="N505" s="7"/>
      <c r="O505" s="7"/>
      <c r="P505" s="7"/>
      <c r="Q505" s="7"/>
      <c r="R505" s="7"/>
      <c r="S505" s="8">
        <f>IF(E505="","",SUM(L505:O505) + Q505 + R505)</f>
      </c>
      <c r="T505" s="8">
        <f>IF(E505="","",S505*0.0275)</f>
      </c>
      <c r="U505" s="8">
        <f>IF(E505="","",IF(S505&gt;0, MIN(S505*0.06, 6480), 0))</f>
      </c>
      <c r="V505" s="7"/>
      <c r="W505" s="7"/>
      <c r="X505" s="7"/>
      <c r="Y505" s="8">
        <f>IF(E505="","",S505*0.015)</f>
      </c>
      <c r="Z505" s="8">
        <f>IF(E505="","",MAX(0, S505 - T505 - U505 - V505 - W505 - X505 - Y505 - IF(J505="Yes", 150000, 0)))</f>
      </c>
      <c r="AA505" s="8">
        <f>IF(E505="","",IF(OR(L505&gt;0, E505&lt;&gt;""), 2400, 0))</f>
      </c>
      <c r="AB505" s="7"/>
      <c r="AC505" s="8">
        <f>IF(E505="","",MAX(0, MAX(0, Z505*0.1) + MAX(0, (Z505-24000)*0.15) + MAX(0, (Z505-32333)*0.05) + MAX(0, (Z505-500000)*0.025) + MAX(0, (Z505-800000)*0.025) - AA505 - AB505))</f>
      </c>
      <c r="AD505" s="8">
        <f>IF(E505="","",AC505)</f>
      </c>
    </row>
  </sheetData>
  <dataValidations count="10">
    <dataValidation type="list" allowBlank="1" sqref="D10:D505">
      <formula1>"National ID,Passport,Alien ID,Refugee ID"</formula1>
    </dataValidation>
    <dataValidation type="list" allowBlank="1" sqref="D6:D505">
      <formula1>"National ID,Passport,Alien ID,Refugee ID"</formula1>
    </dataValidation>
    <dataValidation type="list" allowBlank="1" sqref="H10:H505">
      <formula1>"Resident,Non-Resident"</formula1>
    </dataValidation>
    <dataValidation type="list" allowBlank="1" sqref="H6:H505">
      <formula1>"Resident,Non-Resident"</formula1>
    </dataValidation>
    <dataValidation type="list" allowBlank="1" sqref="I10:I505">
      <formula1>"Primary Employee,Secondary Employee"</formula1>
    </dataValidation>
    <dataValidation type="list" allowBlank="1" sqref="I6:I505">
      <formula1>"Primary Employee,Secondary Employee"</formula1>
    </dataValidation>
    <dataValidation type="list" allowBlank="1" sqref="J10:J505">
      <formula1>"No,Yes"</formula1>
    </dataValidation>
    <dataValidation type="list" allowBlank="1" sqref="J6:J505">
      <formula1>"No,Yes"</formula1>
    </dataValidation>
    <dataValidation type="list" allowBlank="1" sqref="P10:P505">
      <formula1>"Benefit not given,Employers Owned House,Employers Rented House,Agricultural Farm"</formula1>
    </dataValidation>
    <dataValidation type="list" allowBlank="1" sqref="P6:P505">
      <formula1>"Benefit not given,Employers Owned House,Employers Rented House,Agricultural Farm"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Payroll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2026-04-22T13:39:55Z</dcterms:created>
  <dcterms:modified xsi:type="dcterms:W3CDTF">2026-04-22T13:39:55Z</dcterms:modified>
</cp:coreProperties>
</file>